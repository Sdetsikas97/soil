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reening summary" sheetId="1" state="visible" r:id="rId3"/>
    <sheet name="Papers" sheetId="2" state="visible" r:id="rId4"/>
    <sheet name="Libraries" sheetId="3" state="visible" r:id="rId5"/>
    <sheet name="Library countries" sheetId="4" state="visible" r:id="rId6"/>
    <sheet name="Country coverage" sheetId="5" state="visible" r:id="rId7"/>
    <sheet name="Added entries (log)" sheetId="6" state="visible" r:id="rId8"/>
  </sheets>
  <definedNames>
    <definedName function="false" hidden="true" localSheetId="2" name="_xlnm._FilterDatabase" vbProcedure="false">Libraries!$A$1:$Q$56</definedName>
    <definedName function="false" hidden="true" localSheetId="1" name="_xlnm._FilterDatabase" vbProcedure="false">Papers!$A$1:$AT$114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Approximate centre of the study region, used to place the library on the web map. Leave blank to use the country centroid.</t>
        </r>
      </text>
    </comment>
  </commentList>
</comments>
</file>

<file path=xl/sharedStrings.xml><?xml version="1.0" encoding="utf-8"?>
<sst xmlns="http://schemas.openxmlformats.org/spreadsheetml/2006/main" count="4747" uniqueCount="2394">
  <si>
    <t xml:space="preserve">Soil spectral library review – screening summary</t>
  </si>
  <si>
    <t xml:space="preserve">Records</t>
  </si>
  <si>
    <t xml:space="preserve">Records in inventory</t>
  </si>
  <si>
    <t xml:space="preserve">Excluded – duplicate</t>
  </si>
  <si>
    <t xml:space="preserve">Excluded – C1 not soil-specific</t>
  </si>
  <si>
    <t xml:space="preserve">Excluded – C2 not spectroscopy</t>
  </si>
  <si>
    <t xml:space="preserve">Excluded – C3 no library-scale data</t>
  </si>
  <si>
    <t xml:space="preserve">Needs checking</t>
  </si>
  <si>
    <t xml:space="preserve">Included papers</t>
  </si>
  <si>
    <t xml:space="preserve">Check: all records accounted for</t>
  </si>
  <si>
    <t xml:space="preserve">Included papers by role</t>
  </si>
  <si>
    <t xml:space="preserve">Introduces a library</t>
  </si>
  <si>
    <t xml:space="preserve">Extends / updates a library</t>
  </si>
  <si>
    <t xml:space="preserve">Methods for a library</t>
  </si>
  <si>
    <t xml:space="preserve">Uses a library</t>
  </si>
  <si>
    <t xml:space="preserve">Libraries</t>
  </si>
  <si>
    <t xml:space="preserve">Distinct libraries</t>
  </si>
  <si>
    <t xml:space="preserve">… with their introducing paper in the review</t>
  </si>
  <si>
    <t xml:space="preserve">… introducing paper missing from the review</t>
  </si>
  <si>
    <t xml:space="preserve">See Notes column in Libraries for candidate references</t>
  </si>
  <si>
    <t xml:space="preserve">Global</t>
  </si>
  <si>
    <t xml:space="preserve">Continental / regional (countries not itemised)</t>
  </si>
  <si>
    <t xml:space="preserve">Multi-country</t>
  </si>
  <si>
    <t xml:space="preserve">National</t>
  </si>
  <si>
    <t xml:space="preserve">Sub-national</t>
  </si>
  <si>
    <t xml:space="preserve">Libraries under 200 samples</t>
  </si>
  <si>
    <t xml:space="preserve">Flagged, not excluded (no minimum-size rule applied)</t>
  </si>
  <si>
    <t xml:space="preserve">Countries</t>
  </si>
  <si>
    <t xml:space="preserve">Countries covered by at least one library</t>
  </si>
  <si>
    <t xml:space="preserve">… with a national library</t>
  </si>
  <si>
    <t xml:space="preserve">… sub-national only</t>
  </si>
  <si>
    <t xml:space="preserve">… multi-country only</t>
  </si>
  <si>
    <t xml:space="preserve">Screening criteria (coded in Papers, columns AK–AT)</t>
  </si>
  <si>
    <t xml:space="preserve">C1 Soil-specific</t>
  </si>
  <si>
    <t xml:space="preserve">Spectra are of soils (excludes general mineral/rock/vegetation libraries).</t>
  </si>
  <si>
    <t xml:space="preserve">C2 Spectroscopic</t>
  </si>
  <si>
    <t xml:space="preserve">The study measures or analyses soil spectra (any range: vis-NIR, MIR, LWIR).</t>
  </si>
  <si>
    <t xml:space="preserve">C3 Library-scale data</t>
  </si>
  <si>
    <t xml:space="preserve">Spectra come from, or are added to, an identifiable library spanning multiple fields/sites, or the authors present the dataset as a library. Single-field, single-site or trial studies with no library = No.</t>
  </si>
  <si>
    <t xml:space="preserve">Decision</t>
  </si>
  <si>
    <t xml:space="preserve">Include if C1–C3 are all Yes; Check if any is Check; Exclude otherwise; duplicates excluded first. Computed by formula – edit the yellow cells, not the decision.</t>
  </si>
  <si>
    <t xml:space="preserve">Paper role</t>
  </si>
  <si>
    <t xml:space="preserve">Introduces (first describes the library) · Extends / updates (new release, opening, service built on it) · Methods for (standardisation, harmonisation, QA of that library) · Uses (calibration/application).</t>
  </si>
  <si>
    <t xml:space="preserve">Minimum size</t>
  </si>
  <si>
    <t xml:space="preserve">None applied. Libraries under 200 samples are flagged in Libraries column I so a threshold can be set later.</t>
  </si>
  <si>
    <t xml:space="preserve">Unit of analysis</t>
  </si>
  <si>
    <t xml:space="preserve">Libraries, not papers. Country and scale statistics count distinct libraries (sheet Libraries), so heavily published libraries are counted once.</t>
  </si>
  <si>
    <t xml:space="preserve">Yellow cells</t>
  </si>
  <si>
    <t xml:space="preserve">Coding inputs. Change them and every decision, count and the coverage table update.</t>
  </si>
  <si>
    <t xml:space="preserve">Authors</t>
  </si>
  <si>
    <t xml:space="preserve">Title</t>
  </si>
  <si>
    <t xml:space="preserve">Year</t>
  </si>
  <si>
    <t xml:space="preserve">DOI</t>
  </si>
  <si>
    <t xml:space="preserve">Library Name</t>
  </si>
  <si>
    <t xml:space="preserve">Scale</t>
  </si>
  <si>
    <t xml:space="preserve">Country/Region</t>
  </si>
  <si>
    <t xml:space="preserve">Continent</t>
  </si>
  <si>
    <t xml:space="preserve">Number of Samples</t>
  </si>
  <si>
    <t xml:space="preserve">Soil Types</t>
  </si>
  <si>
    <t xml:space="preserve">Land Use</t>
  </si>
  <si>
    <t xml:space="preserve">Sampling Depth</t>
  </si>
  <si>
    <t xml:space="preserve">Sampling Strategy</t>
  </si>
  <si>
    <t xml:space="preserve">Spectral Region</t>
  </si>
  <si>
    <t xml:space="preserve">Wavelength Range (nm)</t>
  </si>
  <si>
    <t xml:space="preserve">Instrument</t>
  </si>
  <si>
    <t xml:space="preserve">Spectral Resolution</t>
  </si>
  <si>
    <t xml:space="preserve">Sample Preparation</t>
  </si>
  <si>
    <t xml:space="preserve">Measurement Conditions</t>
  </si>
  <si>
    <t xml:space="preserve">Reference Soil Properties</t>
  </si>
  <si>
    <t xml:space="preserve">Laboratory Methods</t>
  </si>
  <si>
    <t xml:space="preserve">Spectral Preprocessing</t>
  </si>
  <si>
    <t xml:space="preserve">Feature Selection</t>
  </si>
  <si>
    <t xml:space="preserve">Modelling Method</t>
  </si>
  <si>
    <t xml:space="preserve">Validation Method</t>
  </si>
  <si>
    <t xml:space="preserve">Performance Metrics</t>
  </si>
  <si>
    <t xml:space="preserve">QA/QC</t>
  </si>
  <si>
    <t xml:space="preserve">Metadata Included</t>
  </si>
  <si>
    <t xml:space="preserve">Data Availability</t>
  </si>
  <si>
    <t xml:space="preserve">FAIR Compliance</t>
  </si>
  <si>
    <t xml:space="preserve">Standardization Protocol</t>
  </si>
  <si>
    <t xml:space="preserve">Harmonization Method</t>
  </si>
  <si>
    <t xml:space="preserve">Main Applications</t>
  </si>
  <si>
    <t xml:space="preserve">Main Challenges</t>
  </si>
  <si>
    <t xml:space="preserve">Future Recommendations</t>
  </si>
  <si>
    <t xml:space="preserve">Key Findings</t>
  </si>
  <si>
    <t xml:space="preserve">Duplicate of row</t>
  </si>
  <si>
    <t xml:space="preserve">Screening decision</t>
  </si>
  <si>
    <t xml:space="preserve">Exclusion reason / notes</t>
  </si>
  <si>
    <t xml:space="preserve">Library ID</t>
  </si>
  <si>
    <t xml:space="preserve">Secondary library ID</t>
  </si>
  <si>
    <t xml:space="preserve">Library name</t>
  </si>
  <si>
    <t xml:space="preserve">Reddy B.S.; Shwetha H.R.</t>
  </si>
  <si>
    <t xml:space="preserve">Integrating Soil Spectral Library and PRISMA Data to Estimate Soil Organic Carbon in Crop Lands</t>
  </si>
  <si>
    <t xml:space="preserve">2024</t>
  </si>
  <si>
    <t xml:space="preserve">10.1109/LGRS.2024.3374824</t>
  </si>
  <si>
    <t xml:space="preserve">-</t>
  </si>
  <si>
    <t xml:space="preserve">Topsoil (cropland)</t>
  </si>
  <si>
    <t xml:space="preserve">Synthesized soil spectral library developed under laboratory conditions, integrated with PRISMA hyperspectral data for local-scale SOC mapping in Indian croplands</t>
  </si>
  <si>
    <t xml:space="preserve">vis-NIR-SWIR (laboratory SSL + PRISMA imagery)</t>
  </si>
  <si>
    <t xml:space="preserve">~400-2500 (PRISMA hyperspectral range)</t>
  </si>
  <si>
    <t xml:space="preserve">Laboratory spectroradiometer (synthesized SSL) + PRISMA spaceborne hyperspectral sensor</t>
  </si>
  <si>
    <t xml:space="preserve">PRISMA ~10 nm hyperspectral bands</t>
  </si>
  <si>
    <t xml:space="preserve">Laboratory-synthesized/prepared samples</t>
  </si>
  <si>
    <t xml:space="preserve">Laboratory (SSL) and spaceborne (PRISMA)</t>
  </si>
  <si>
    <t xml:space="preserve">Soil organic carbon (SOC)</t>
  </si>
  <si>
    <t xml:space="preserve">Walkley-Black method (SOC)</t>
  </si>
  <si>
    <t xml:space="preserve">Not specified in available sources</t>
  </si>
  <si>
    <t xml:space="preserve">Machine learning (ML) algorithms integrating synthesized SSL with PRISMA data</t>
  </si>
  <si>
    <t xml:space="preserve">Local-scale validation of SOC estimation</t>
  </si>
  <si>
    <t xml:space="preserve">R2/RMSE (not further specified in available sources)</t>
  </si>
  <si>
    <t xml:space="preserve">Cropland location, sensor type</t>
  </si>
  <si>
    <t xml:space="preserve">Restricted (study dataset); PRISMA products (c)ASI</t>
  </si>
  <si>
    <t xml:space="preserve">Partial</t>
  </si>
  <si>
    <t xml:space="preserve">Bridging synthesized laboratory SSL with spaceborne hyperspectral data via ML</t>
  </si>
  <si>
    <t xml:space="preserve">Local-scale cropland SOC mapping for food security (SDG 2) in developing nations</t>
  </si>
  <si>
    <t xml:space="preserve">Inconsistent calibration libraries and impractical regular sample collection between crop rotations in agriculture-predominant countries like India</t>
  </si>
  <si>
    <t xml:space="preserve">Use laboratory-synthesized SSLs fused with hyperspectral (PRISMA) data to overcome sample-collection constraints in developing nations</t>
  </si>
  <si>
    <t xml:space="preserve">To overcome impractical repeated soil sampling in Indian croplands, this study developed a laboratory-synthesized soil spectral library and fused it with PRISMA hyperspectral data using machine learning, bridging the gap between synthesized SSL and satellite data for local-scale SOC mapping in support of food security.</t>
  </si>
  <si>
    <t xml:space="preserve">Yes</t>
  </si>
  <si>
    <t xml:space="preserve">Introduces</t>
  </si>
  <si>
    <t xml:space="preserve">IN-PRISMA</t>
  </si>
  <si>
    <t xml:space="preserve">Clingensmith C.M.; Grunwald S.</t>
  </si>
  <si>
    <t xml:space="preserve">Transferring and Spiking of VNIR Models for Soil Property Predictions in Southern India</t>
  </si>
  <si>
    <t xml:space="preserve">2025</t>
  </si>
  <si>
    <t xml:space="preserve">10.1080/00103624.2025.2522188</t>
  </si>
  <si>
    <t xml:space="preserve">Southern India</t>
  </si>
  <si>
    <t xml:space="preserve">Asia</t>
  </si>
  <si>
    <t xml:space="preserve">Assumed KSSL vis-NIR models transferred to India – check</t>
  </si>
  <si>
    <t xml:space="preserve">Uses</t>
  </si>
  <si>
    <t xml:space="preserve">US-KSSL-VNIR</t>
  </si>
  <si>
    <t xml:space="preserve">Clairotte M.; Grinand C.; Kouakoua E.; Thébault A.; Saby N.P.A.; Bernoux M.; Barthès B.G.</t>
  </si>
  <si>
    <t xml:space="preserve">National calibration of soil organic carbon concentration using diffuse infrared reflectance spectroscopy</t>
  </si>
  <si>
    <t xml:space="preserve">2016</t>
  </si>
  <si>
    <t xml:space="preserve">10.1016/j.geoderma.2016.04.021</t>
  </si>
  <si>
    <t xml:space="preserve">France</t>
  </si>
  <si>
    <t xml:space="preserve">Europe</t>
  </si>
  <si>
    <t xml:space="preserve">FR-RMQS-IR</t>
  </si>
  <si>
    <t xml:space="preserve">Paiva A.F.D.S.; Poppiel R.R.; Rosin N.A.; Greschuk L.T.; Rosas J.T.F.; Demattê J.A.M.</t>
  </si>
  <si>
    <t xml:space="preserve">The Brazilian Program of soil analysis via spectroscopy (ProBASE): Combining spectroscopy and wet laboratories to understand new technologies</t>
  </si>
  <si>
    <t xml:space="preserve">2022</t>
  </si>
  <si>
    <t xml:space="preserve">10.1016/j.geoderma.2022.115905</t>
  </si>
  <si>
    <t xml:space="preserve">BSSL</t>
  </si>
  <si>
    <t xml:space="preserve">Brazil</t>
  </si>
  <si>
    <t xml:space="preserve">South America</t>
  </si>
  <si>
    <t xml:space="preserve">~7000</t>
  </si>
  <si>
    <t xml:space="preserve">Brazilian agricultural soils</t>
  </si>
  <si>
    <t xml:space="preserve">Agriculture</t>
  </si>
  <si>
    <t xml:space="preserve">BR-BSSL</t>
  </si>
  <si>
    <t xml:space="preserve">Poppiel R.R.; Paiva A.F.D.S.; Demattê J.A.M.</t>
  </si>
  <si>
    <t xml:space="preserve">Bridging the gap between soil spectroscopy and traditional laboratory: Insights for routine implementation</t>
  </si>
  <si>
    <t xml:space="preserve">10.1016/j.geoderma.2022.116029</t>
  </si>
  <si>
    <t xml:space="preserve">Brazilian Soil Spectral Library (BSSL)</t>
  </si>
  <si>
    <t xml:space="preserve">Regional</t>
  </si>
  <si>
    <t xml:space="preserve">~7200</t>
  </si>
  <si>
    <t xml:space="preserve">Ferralsols, Acrisols, Lixisols, Cambisols, Arenosols, Plinthosols, Nitisols</t>
  </si>
  <si>
    <t xml:space="preserve">Agricultural</t>
  </si>
  <si>
    <t xml:space="preserve">Samples from 36 commercial laboratories in Brazil and Paraguay; spectra-based systematic sampling for subset selection</t>
  </si>
  <si>
    <t xml:space="preserve">vis-NIR-SWIR (BSSL-based)</t>
  </si>
  <si>
    <t xml:space="preserve">350-2500</t>
  </si>
  <si>
    <t xml:space="preserve">ASD FieldSpec-type spectroradiometer</t>
  </si>
  <si>
    <t xml:space="preserve">Air-dried, ground, sieved (routine commercial lab prep)</t>
  </si>
  <si>
    <t xml:space="preserve">Laboratory (commercial analytical labs)</t>
  </si>
  <si>
    <t xml:space="preserve">Routine fertility/analytical properties (commercial lab suite)</t>
  </si>
  <si>
    <t xml:space="preserve">Standard commercial soil testing methods</t>
  </si>
  <si>
    <t xml:space="preserve">Spectral clustering to detect outlying attributes, adjusted to data distribution</t>
  </si>
  <si>
    <t xml:space="preserve">Spectra-based systematic sampling combined with BSSL calibration models</t>
  </si>
  <si>
    <t xml:space="preserve">Comparison of spectroscopy-based vs traditional wet-chemistry results across 36 labs</t>
  </si>
  <si>
    <t xml:space="preserve">~25% of labs had potential to reduce need for lab analysis by at least 50%</t>
  </si>
  <si>
    <t xml:space="preserve">Internal quality control via spectral clustering/outlier detection; analytical quality assessment across labs</t>
  </si>
  <si>
    <t xml:space="preserve">Laboratory identity, country (Brazil/Paraguay), attribute distributions</t>
  </si>
  <si>
    <t xml:space="preserve">Restricted (commercial lab data, BSSL-linked)</t>
  </si>
  <si>
    <t xml:space="preserve">Recommends standards/protocols for routine lab uptake of spectroscopy</t>
  </si>
  <si>
    <t xml:space="preserve">Spectra-based systematic sampling to equally distribute attributes among calibration subsets</t>
  </si>
  <si>
    <t xml:space="preserve">Bridging soil spectroscopy into routine commercial soil-testing laboratory workflows</t>
  </si>
  <si>
    <t xml:space="preserve">Lack of standards/protocols, spectral libraries, chemometrics capacity, and trained professionals in routine labs</t>
  </si>
  <si>
    <t xml:space="preserve">Develop standards/protocols, expand spectral libraries, and build chemometrics capacity/professional training for routine lab adoption</t>
  </si>
  <si>
    <t xml:space="preserve">Analyzing 36 commercial labs in Brazil and Paraguay, this study found nearly 25% could cut wet-chemistry lab analysis needs by at least half using soil spectroscopy, but broader adoption is limited by a lack of standards, protocols, spectral libraries, and chemometrics expertise in routine labs.</t>
  </si>
  <si>
    <t xml:space="preserve">Leenen M.; Pätzold S.; Tóth G.; Welp G.</t>
  </si>
  <si>
    <t xml:space="preserve">A LUCAS-based mid-infrared soil spectral library: Its usefulness for soil survey and precision agriculture</t>
  </si>
  <si>
    <t xml:space="preserve">10.1002/jpln.202100031</t>
  </si>
  <si>
    <t xml:space="preserve">LUCAS</t>
  </si>
  <si>
    <t xml:space="preserve">Continental</t>
  </si>
  <si>
    <t xml:space="preserve">Belgium, Luxembourg, Germany, Netherlands</t>
  </si>
  <si>
    <t xml:space="preserve">1013</t>
  </si>
  <si>
    <t xml:space="preserve">Cambisols, Stagnosols, Luvisols, Chernozems, Regosols, Arenosols, Retisols</t>
  </si>
  <si>
    <t xml:space="preserve">Agricultural/Arable</t>
  </si>
  <si>
    <t xml:space="preserve">Topsoil (arable)</t>
  </si>
  <si>
    <t xml:space="preserve">LUCAS 2009 survey samples subset (Belgium, Netherlands, Luxembourg, Germany)</t>
  </si>
  <si>
    <t xml:space="preserve">MIR (mid-infrared)</t>
  </si>
  <si>
    <t xml:space="preserve">Mid-infrared range (typically ~2500-15000 nm / 4000-650 cm-1)</t>
  </si>
  <si>
    <t xml:space="preserve">FTIR bench-top spectrometer</t>
  </si>
  <si>
    <t xml:space="preserve">Not specified in detail</t>
  </si>
  <si>
    <t xml:space="preserve">Air-dried, sieved, ground topsoil</t>
  </si>
  <si>
    <t xml:space="preserve">Laboratory</t>
  </si>
  <si>
    <t xml:space="preserve">Clay content and other soil properties (texture, nutrients)</t>
  </si>
  <si>
    <t xml:space="preserve">Standard wet-chemistry reference methods (LUCAS protocol)</t>
  </si>
  <si>
    <t xml:space="preserve">Not detailed</t>
  </si>
  <si>
    <t xml:space="preserve">None specified</t>
  </si>
  <si>
    <t xml:space="preserve">Partial Least Squares Regression (PLSR); generic and parent-material-stratified models</t>
  </si>
  <si>
    <t xml:space="preserve">Leave-one-out cross-validation (LOOCV)</t>
  </si>
  <si>
    <t xml:space="preserve">R2 (e.g. ~0.89, 0.85, 0.88 for clay prediction across models)</t>
  </si>
  <si>
    <t xml:space="preserve">Stratification by parent material to reduce error</t>
  </si>
  <si>
    <t xml:space="preserve">Parent material, land use, location</t>
  </si>
  <si>
    <t xml:space="preserve">Restricted (subset of LUCAS)</t>
  </si>
  <si>
    <t xml:space="preserve">LUCAS survey protocol</t>
  </si>
  <si>
    <t xml:space="preserve">Stratification by parent material for local calibration</t>
  </si>
  <si>
    <t xml:space="preserve">Soil survey at regional scale and precision agriculture at field scale</t>
  </si>
  <si>
    <t xml:space="preserve">Transferability of generic models to field-scale precision agriculture applications</t>
  </si>
  <si>
    <t xml:space="preserve">Further stratification and local calibration to improve field-scale applicability</t>
  </si>
  <si>
    <t xml:space="preserve">A 1,013-sample MIR library built from LUCAS topsoil data across four countries achieved strong clay-content prediction (R2 up to ~0.89) and shows promise for both regional soil survey and precision agriculture use.</t>
  </si>
  <si>
    <t xml:space="preserve">EU-LUCAS-MIR4</t>
  </si>
  <si>
    <t xml:space="preserve">Gao S.; Li X.; Ding J.; Li B.; Wu X.; Tian J.; Ge X.; Zhu C.; Wang J.; Zhang Z.</t>
  </si>
  <si>
    <t xml:space="preserve">Unveiling the Advantages of UV−Vis/NIR−pXRF Data Fusion for Precise Estimation of Soil Heavy Metals in Farmland</t>
  </si>
  <si>
    <t xml:space="preserve">2026</t>
  </si>
  <si>
    <t xml:space="preserve">10.1002/ldr.70488</t>
  </si>
  <si>
    <t xml:space="preserve">Local</t>
  </si>
  <si>
    <t xml:space="preserve">Xinjiang, China</t>
  </si>
  <si>
    <t xml:space="preserve">110</t>
  </si>
  <si>
    <t xml:space="preserve">Agriculture soils</t>
  </si>
  <si>
    <t xml:space="preserve">Agricultural, grassland, and forest</t>
  </si>
  <si>
    <t xml:space="preserve">No</t>
  </si>
  <si>
    <t xml:space="preserve">Local study (110 samples), no library</t>
  </si>
  <si>
    <t xml:space="preserve">—</t>
  </si>
  <si>
    <t xml:space="preserve">Ma Y.; Roudier P.; Kumar K.; Palmada T.; Grealish G.; Carrick S.; Lilburne L.; Triantafilis J.</t>
  </si>
  <si>
    <t xml:space="preserve">A soil spectral library of New Zealand</t>
  </si>
  <si>
    <t xml:space="preserve">2023</t>
  </si>
  <si>
    <t xml:space="preserve">10.1016/j.geodrs.2023.e00726</t>
  </si>
  <si>
    <t xml:space="preserve">New Zealand Soil Classification (NZSC)</t>
  </si>
  <si>
    <t xml:space="preserve">New Zealand</t>
  </si>
  <si>
    <t xml:space="preserve">Oceania</t>
  </si>
  <si>
    <t xml:space="preserve">11246</t>
  </si>
  <si>
    <t xml:space="preserve">All 14 NZSC orders: Allophanic, Brown, Gley, Granular, Melanic, Organic, Oxidic, Pallic, Podzols, Pumice, Raw, Recent, Semi-arid, Ultic</t>
  </si>
  <si>
    <t xml:space="preserve">Agricultural/Arable and Forest</t>
  </si>
  <si>
    <t xml:space="preserve">Topsoil (0-15/0-30 cm typical NZ survey depths)</t>
  </si>
  <si>
    <t xml:space="preserve">National compilation across all 14 NZSC soil orders</t>
  </si>
  <si>
    <t xml:space="preserve">vis-NIR and MIR</t>
  </si>
  <si>
    <t xml:space="preserve">vis-NIR 350-2500; MIR 2500-25000</t>
  </si>
  <si>
    <t xml:space="preserve">ASD FieldSpec-type (vis-NIR) and FTIR (MIR) spectrometers</t>
  </si>
  <si>
    <t xml:space="preserve">Air-dried, ground, sieved</t>
  </si>
  <si>
    <t xml:space="preserve">Wide range: texture, SOC, minerals (iron oxides), fertility properties</t>
  </si>
  <si>
    <t xml:space="preserve">Standard NZ soil reference methods</t>
  </si>
  <si>
    <t xml:space="preserve">PLSR</t>
  </si>
  <si>
    <t xml:space="preserve">Cross-validation</t>
  </si>
  <si>
    <t xml:space="preserve">R2 (property-dependent)</t>
  </si>
  <si>
    <t xml:space="preserve">NZSC soil order, location, land use</t>
  </si>
  <si>
    <t xml:space="preserve">Restricted/institutional (Manaaki Whenua/Landcare Research)</t>
  </si>
  <si>
    <t xml:space="preserve">Compilation across historical NZ soil surveys</t>
  </si>
  <si>
    <t xml:space="preserve">National soil classification, mineral identification, property prediction</t>
  </si>
  <si>
    <t xml:space="preserve">Combining legacy data collected under varying protocols</t>
  </si>
  <si>
    <t xml:space="preserve">Continued harmonization and expansion of national coverage</t>
  </si>
  <si>
    <t xml:space="preserve">First comprehensive national soil spectral library for New Zealand spanning all 14 NZSC soil orders, enabling vis-NIR/MIR-based classification and property prediction across highly diverse volcanic, pastoral, and forest soils.</t>
  </si>
  <si>
    <t xml:space="preserve">NZ-SSL</t>
  </si>
  <si>
    <t xml:space="preserve">Moloney J.P.; Ma Y.; Stockmann U.; Manu V.T.; Minoneti V.; Hui S.T.; Halavatau S.M.; Patolo S.; Tukia T.; Foliaki S.; Carter T.; Macdonald B.C.T.; Barringer J.; Roudier P.</t>
  </si>
  <si>
    <t xml:space="preserve">Rapid soil attribute evaluation for soil security assessments in data-poor environments in the Pacific region</t>
  </si>
  <si>
    <t xml:space="preserve">10.1016/j.soisec.2024.100161</t>
  </si>
  <si>
    <t xml:space="preserve">New Zealand vis-NIR soil spectral library</t>
  </si>
  <si>
    <t xml:space="preserve">Tonga, New Zealand</t>
  </si>
  <si>
    <t xml:space="preserve">Allophanic soils and Coastal coral sands</t>
  </si>
  <si>
    <t xml:space="preserve">Diverse/Agricultural</t>
  </si>
  <si>
    <t xml:space="preserve">Nocita M.; Kooistra L.; Bachmann M.; Müller A.; Powell M.; Weel S.</t>
  </si>
  <si>
    <t xml:space="preserve">Predictions of soil surface and topsoil organic carbon content through the use of laboratory and field spectroscopy in the Albany Thicket Biome of Eastern Cape Province of South Africa</t>
  </si>
  <si>
    <t xml:space="preserve">2011</t>
  </si>
  <si>
    <t xml:space="preserve">10.1016/j.geoderma.2011.09.018</t>
  </si>
  <si>
    <t xml:space="preserve">Albany Thicket Biome, South Africa</t>
  </si>
  <si>
    <t xml:space="preserve">Africa</t>
  </si>
  <si>
    <t xml:space="preserve">113</t>
  </si>
  <si>
    <t xml:space="preserve">Subtropical thicket vegetation soils</t>
  </si>
  <si>
    <t xml:space="preserve">Subtropical thicket and open savannah</t>
  </si>
  <si>
    <t xml:space="preserve">Local calibration study (113 samples), no library</t>
  </si>
  <si>
    <t xml:space="preserve">Francos N.; Ben-Dor E.</t>
  </si>
  <si>
    <t xml:space="preserve">A transfer function to predict soil surface reflectance from laboratory soil spectral libraries</t>
  </si>
  <si>
    <t xml:space="preserve">10.1016/j.geoderma.2021.115432</t>
  </si>
  <si>
    <t xml:space="preserve">Israel, Italy, Greece</t>
  </si>
  <si>
    <t xml:space="preserve">Asia/Europe</t>
  </si>
  <si>
    <t xml:space="preserve">115</t>
  </si>
  <si>
    <t xml:space="preserve">Alluvial, Leptosol, Ferrosol, Fluvisol, Cambisol</t>
  </si>
  <si>
    <t xml:space="preserve">Surface</t>
  </si>
  <si>
    <t xml:space="preserve">Local samples from Israel, Italy, Greece used to build transfer function between lab and field reflectance</t>
  </si>
  <si>
    <t xml:space="preserve">vis-NIR-SWIR</t>
  </si>
  <si>
    <t xml:space="preserve">ASD FieldSpec-type (lab) and field spectroradiometer</t>
  </si>
  <si>
    <t xml:space="preserve">Laboratory: air-dried, sieved; Field: undisturbed surface</t>
  </si>
  <si>
    <t xml:space="preserve">Both laboratory and field</t>
  </si>
  <si>
    <t xml:space="preserve">Soil surface reflectance; water infiltration rate (surface-dependent property)</t>
  </si>
  <si>
    <t xml:space="preserve">Standard reference methods for surface property assessment</t>
  </si>
  <si>
    <t xml:space="preserve">Transfer function (TF) between laboratory and field spectral levels</t>
  </si>
  <si>
    <t xml:space="preserve">Cross-validation between predicted and measured field reflectance</t>
  </si>
  <si>
    <t xml:space="preserve">Improved spectral assessment accuracy of surface-dependent property (not further specified)</t>
  </si>
  <si>
    <t xml:space="preserve">Internal Soil Standard (ISS) used as reference</t>
  </si>
  <si>
    <t xml:space="preserve">Site, soil type</t>
  </si>
  <si>
    <t xml:space="preserve">Restricted</t>
  </si>
  <si>
    <t xml:space="preserve">ISS (Lucky Bay) protocol basis</t>
  </si>
  <si>
    <t xml:space="preserve">Transfer function linking laboratory spectral libraries to field surface reflectance</t>
  </si>
  <si>
    <t xml:space="preserve">Predicting field/in-situ soil surface reflectance from existing laboratory spectral libraries</t>
  </si>
  <si>
    <t xml:space="preserve">Laboratory spectra do not directly represent field surface conditions (roughness, moisture, crusting)</t>
  </si>
  <si>
    <t xml:space="preserve">Extend transfer function approach to more regions/soil types and additional surface-dependent properties</t>
  </si>
  <si>
    <t xml:space="preserve">A transfer function developed between laboratory and field spectral measurements enabled existing laboratory SSLs to predict field-level soil surface reflectance and a surface-dependent property (water infiltration) across three Mediterranean countries.</t>
  </si>
  <si>
    <t xml:space="preserve">Transfer-function method; own 115 samples, no identifiable library</t>
  </si>
  <si>
    <t xml:space="preserve">Daempfling H.L.C.; Milewski R.; Notesco G.; Ben-Dor E.; Chabrillat S.</t>
  </si>
  <si>
    <t xml:space="preserve">Advancing Hyperspectral LWIR Imaging of Soils with a Controlled Laboratory Setup</t>
  </si>
  <si>
    <t xml:space="preserve">10.3390/rs17233926</t>
  </si>
  <si>
    <t xml:space="preserve">Legacy soil spectral library of Tel-Aviv University (Israel)</t>
  </si>
  <si>
    <t xml:space="preserve">Israel</t>
  </si>
  <si>
    <t xml:space="preserve">12</t>
  </si>
  <si>
    <t xml:space="preserve">Rhodoxeralf, Haploxeroll, Xerert, Calciorthid, Torriorthent, Haplargid</t>
  </si>
  <si>
    <t xml:space="preserve">Agricultural/Arid</t>
  </si>
  <si>
    <t xml:space="preserve">Surface soil samples (Tel-Aviv University legacy library subset)</t>
  </si>
  <si>
    <t xml:space="preserve">12 variable soil samples selected from Israeli legacy SSL for controlled LWIR imaging</t>
  </si>
  <si>
    <t xml:space="preserve">LWIR (longwave/thermal infrared)</t>
  </si>
  <si>
    <t xml:space="preserve">~8000-12000 (Telops Hyper-Cam LW range)</t>
  </si>
  <si>
    <t xml:space="preserve">Telops Hyper-Cam LW (Fourier-transform hyperspectral LWIR imaging spectrometer)</t>
  </si>
  <si>
    <t xml:space="preserve">Per Hyper-Cam LW sensor specification (FTIR-based)</t>
  </si>
  <si>
    <t xml:space="preserve">Air-dried soils placed on heating plate with gold reference plate</t>
  </si>
  <si>
    <t xml:space="preserve">Controlled indoor laboratory setup, replicating airborne/spaceborne LWIR passive emissivity measurement</t>
  </si>
  <si>
    <t xml:space="preserve">Mineral composition (quartz, clay minerals, carbonates); organic carbon (Walkley-Black)</t>
  </si>
  <si>
    <t xml:space="preserve">XRD mineralogy; Walkley-Black organic carbon</t>
  </si>
  <si>
    <t xml:space="preserve">Spatial Averaging Before Blackbody Fitting (SABBF) method</t>
  </si>
  <si>
    <t xml:space="preserve">Semi-quantitative mineral estimation from emissivity spectra</t>
  </si>
  <si>
    <t xml:space="preserve">Comparison of lab emissivity results with outdoor Hyper-Cam LW measurements and XRD mineralogy</t>
  </si>
  <si>
    <t xml:space="preserve">Good agreement between lab and outdoor LWIR spectra and XRD-based mineralogy (qualitative)</t>
  </si>
  <si>
    <t xml:space="preserve">Rigorous calibration protocols; blackbody fitting-based temperature/emissivity retrieval</t>
  </si>
  <si>
    <t xml:space="preserve">Soil type (e.g. Torriorthent), sample ID</t>
  </si>
  <si>
    <t xml:space="preserve">Restricted (Tel-Aviv University legacy library subset)</t>
  </si>
  <si>
    <t xml:space="preserve">Custom controlled laboratory LWIR protocol (calibration plate, SABBF)</t>
  </si>
  <si>
    <t xml:space="preserve">Designed to bridge laboratory measurements and remote sensing (airborne/spaceborne) LWIR observations</t>
  </si>
  <si>
    <t xml:space="preserve">Weather-independent laboratory-based mineral characterization via LWIR imaging spectroscopy</t>
  </si>
  <si>
    <t xml:space="preserve">Achieving accurate indirect-emissivity retrieval indoors without natural downwelling radiance</t>
  </si>
  <si>
    <t xml:space="preserve">Apply controlled LWIR laboratory setup more broadly to support airborne/spaceborne LWIR soil mineral mapping missions</t>
  </si>
  <si>
    <t xml:space="preserve">A new controlled laboratory LWIR hyperspectral imaging setup (Telops Hyper-Cam LW with SABBF processing) produced soil emissivity spectra that agreed well with outdoor measurements and XRD mineralogy, enabling weather-independent semi-quantitative soil mineral characterization.</t>
  </si>
  <si>
    <t xml:space="preserve">Uses 12 samples from the TAU legacy library for LWIR imaging</t>
  </si>
  <si>
    <t xml:space="preserve">Methods for</t>
  </si>
  <si>
    <t xml:space="preserve">IL-TAU</t>
  </si>
  <si>
    <t xml:space="preserve">Bartholomeus H.; Schaepman-Strub G.; Blok D.; Sofronov R.; Udaltsov S.</t>
  </si>
  <si>
    <t xml:space="preserve">Spectral estimation of soil properties in siberian tundra soils and relations with plant species composition</t>
  </si>
  <si>
    <t xml:space="preserve">2012</t>
  </si>
  <si>
    <t xml:space="preserve">10.1155/2012/241535</t>
  </si>
  <si>
    <t xml:space="preserve">Siberia, Russia</t>
  </si>
  <si>
    <t xml:space="preserve">128</t>
  </si>
  <si>
    <t xml:space="preserve">Organic and mineral tundra soils</t>
  </si>
  <si>
    <t xml:space="preserve">Nature (Shrub, Sedges)</t>
  </si>
  <si>
    <t xml:space="preserve">Local tundra study (128 samples), no library</t>
  </si>
  <si>
    <t xml:space="preserve">Cambule A.H.; Rossiter D.G.; Stoorvogel J.J.; Smaling E.M.A.</t>
  </si>
  <si>
    <t xml:space="preserve">Building a near infrared spectral library for soil organic carbon estimation in the Limpopo National Park, Mozambique</t>
  </si>
  <si>
    <t xml:space="preserve">10.1016/j.geoderma.2012.03.011</t>
  </si>
  <si>
    <t xml:space="preserve">Limpopo National Park (LNP) SSL</t>
  </si>
  <si>
    <t xml:space="preserve">Mozambique</t>
  </si>
  <si>
    <t xml:space="preserve">129</t>
  </si>
  <si>
    <t xml:space="preserve">Arenosols, Haplic Luvisols, Ferralic Arenosols, Eutric Fluvisols, Eutric Leptosols</t>
  </si>
  <si>
    <t xml:space="preserve">Conservation Area, Grassland/Savanna, Subsistence Agriculture</t>
  </si>
  <si>
    <t xml:space="preserve">Topsoil</t>
  </si>
  <si>
    <t xml:space="preserve">129 samples across Limpopo National Park land uses/soil types</t>
  </si>
  <si>
    <t xml:space="preserve">NIR</t>
  </si>
  <si>
    <t xml:space="preserve">Standard NIR range (not further specified in available sources)</t>
  </si>
  <si>
    <t xml:space="preserve">NIR spectrometer</t>
  </si>
  <si>
    <t xml:space="preserve">Soil organic carbon (SOC); clay content used as covariate</t>
  </si>
  <si>
    <t xml:space="preserve">Standard SOC and clay content reference methods</t>
  </si>
  <si>
    <t xml:space="preserve">PLSR, combining spectral NIR data with clay content as covariate</t>
  </si>
  <si>
    <t xml:space="preserve">R2=0.84, RMSE=0.28% for SOC; clay content covariate explained 32% of variance</t>
  </si>
  <si>
    <t xml:space="preserve">Land use, soil type, location within park</t>
  </si>
  <si>
    <t xml:space="preserve">Restricted (regional LNP SSL)</t>
  </si>
  <si>
    <t xml:space="preserve">Cost-efficient SOC estimation for conservation area/protected park management</t>
  </si>
  <si>
    <t xml:space="preserve">Limited sample density in a poorly-accessible conservation area</t>
  </si>
  <si>
    <t xml:space="preserve">Combine spectral data with auxiliary environmental covariates (e.g. clay content) to improve SOC prediction accuracy</t>
  </si>
  <si>
    <t xml:space="preserve">Combining NIR spectral data with clay content as a covariate in a PLSR model substantially improved SOC prediction (R2=0.84, RMSE=0.28%) for soils across the Limpopo National Park, Mozambique, demonstrating a cost-efficient approach for conservation-area soil monitoring.</t>
  </si>
  <si>
    <t xml:space="preserve">MZ-LNP</t>
  </si>
  <si>
    <t xml:space="preserve">Safanelli J.L.; Hengl T.; Parente L.L.; Minarik R.; Bloom D.E.; Todd-Brown K.; Gholizadeh A.; de Sousa Mendes W.; Sanderman J.</t>
  </si>
  <si>
    <t xml:space="preserve">Open Soil Spectral Library (OSSL): Building reproducible soil calibration models through open development and community engagement</t>
  </si>
  <si>
    <t xml:space="preserve">10.1371/journal.pone.0296545</t>
  </si>
  <si>
    <t xml:space="preserve">OSSL</t>
  </si>
  <si>
    <t xml:space="preserve">NA</t>
  </si>
  <si>
    <t xml:space="preserve">EU, N &amp; S America</t>
  </si>
  <si>
    <t xml:space="preserve">135651</t>
  </si>
  <si>
    <t xml:space="preserve">Global diversity covering KSSL, AfSIS, LUCAS, ISRIC, CAF</t>
  </si>
  <si>
    <t xml:space="preserve">Diverse/Global</t>
  </si>
  <si>
    <t xml:space="preserve">Variable (topsoil and subsoil), compiled from multiple contributing libraries</t>
  </si>
  <si>
    <t xml:space="preserve">Aggregated from multiple national/regional libraries (KSSL, AfSIS, LUCAS, ISRIC, CAF, etc.)</t>
  </si>
  <si>
    <t xml:space="preserve">VisNIR and MIR</t>
  </si>
  <si>
    <t xml:space="preserve">VisNIR ~350-2500; MIR ~2500-15000 (4000-600 cm-1)</t>
  </si>
  <si>
    <t xml:space="preserve">Multiple instruments harmonized across contributing labs</t>
  </si>
  <si>
    <t xml:space="preserve">Varies by contributing lab/instrument</t>
  </si>
  <si>
    <t xml:space="preserve">Varies by source library (typically air-dried, ground, sieved)</t>
  </si>
  <si>
    <t xml:space="preserve">Laboratory (multiple labs)</t>
  </si>
  <si>
    <t xml:space="preserve">Wide range: SOC, texture, pH, CEC, nutrients, etc.</t>
  </si>
  <si>
    <t xml:space="preserve">Varies by contributing lab</t>
  </si>
  <si>
    <t xml:space="preserve">Harmonization pipeline (open-source R workflow)</t>
  </si>
  <si>
    <t xml:space="preserve">None specified as standard step</t>
  </si>
  <si>
    <t xml:space="preserve">Machine learning calibration models (open, reproducible pipeline)</t>
  </si>
  <si>
    <t xml:space="preserve">Cross-validation within reproducible ML pipeline</t>
  </si>
  <si>
    <t xml:space="preserve">R2, RMSE reported per property/model</t>
  </si>
  <si>
    <t xml:space="preserve">Open development and community engagement for quality review</t>
  </si>
  <si>
    <t xml:space="preserve">Location, source library, soil properties, instrument metadata</t>
  </si>
  <si>
    <t xml:space="preserve">Open (public, reproducible, Zenodo-hosted)</t>
  </si>
  <si>
    <t xml:space="preserve">High - explicitly designed for open, reproducible, FAIR data science</t>
  </si>
  <si>
    <t xml:space="preserve">OSSL harmonization/standardization pipeline (soilspectroscopy.org)</t>
  </si>
  <si>
    <t xml:space="preserve">Combines and harmonizes KSSL, AfSIS, LUCAS, ISRIC, CAF and other libraries into unified open dataset</t>
  </si>
  <si>
    <t xml:space="preserve">Reproducible open soil calibration model development; community-driven soil spectroscopy</t>
  </si>
  <si>
    <t xml:space="preserve">Spatial over-representation of USA/EU with limited data in Asia, South America, Australia</t>
  </si>
  <si>
    <t xml:space="preserve">Expand geographic diversity; continued community engagement and contribution</t>
  </si>
  <si>
    <t xml:space="preserve">OSSL compiles ~91,600 MIR and ~65,000 VisNIR scans from multiple global libraries into an open, reproducible calibration and modeling resource, though it over-represents USA and EU soils relative to other continents.</t>
  </si>
  <si>
    <t xml:space="preserve">GL-OSSL</t>
  </si>
  <si>
    <t xml:space="preserve">van Leeuwen C.C.E.; Mulder V.L.; Heuvelink G.B.M.</t>
  </si>
  <si>
    <t xml:space="preserve">The effect of modeller's choices and measurement errors on the performance of MIR soil spectroscopy models</t>
  </si>
  <si>
    <t xml:space="preserve">10.1016/j.geoderma.2026.117804</t>
  </si>
  <si>
    <t xml:space="preserve">KSSL/LUCAS</t>
  </si>
  <si>
    <t xml:space="preserve">Netherlands</t>
  </si>
  <si>
    <t xml:space="preserve">136</t>
  </si>
  <si>
    <t xml:space="preserve">Netherlands soils and USA soils</t>
  </si>
  <si>
    <t xml:space="preserve">Diverse</t>
  </si>
  <si>
    <t xml:space="preserve">Library links taken from sheet ("KSSL/LUCAS") – check</t>
  </si>
  <si>
    <t xml:space="preserve">US-KSSL-MIR</t>
  </si>
  <si>
    <t xml:space="preserve">EU-LUCAS-VNIR</t>
  </si>
  <si>
    <t xml:space="preserve">Santra P.; Singh R.; Sarathjith M.C.; Panwar N.R.; Varghese P.; Das B.S.</t>
  </si>
  <si>
    <t xml:space="preserve">Reflectance spectroscopic approach for estimation of soil properties in hot arid western Rajasthan, India</t>
  </si>
  <si>
    <t xml:space="preserve">2015</t>
  </si>
  <si>
    <t xml:space="preserve">10.1007/s12665-015-4383-x</t>
  </si>
  <si>
    <t xml:space="preserve">India Regional</t>
  </si>
  <si>
    <t xml:space="preserve">Western Rajasthan, India</t>
  </si>
  <si>
    <t xml:space="preserve">138</t>
  </si>
  <si>
    <t xml:space="preserve">Hot arid surface soils</t>
  </si>
  <si>
    <t xml:space="preserve">Agricultural/Cropland, Grassland and Dunes</t>
  </si>
  <si>
    <t xml:space="preserve">Surface (hot arid soils)</t>
  </si>
  <si>
    <t xml:space="preserve">138 soil samples from hot arid western Rajasthan compiled into a regional spectral library</t>
  </si>
  <si>
    <t xml:space="preserve">vis-NIR-SWIR spectroradiometer</t>
  </si>
  <si>
    <t xml:space="preserve">Sand and clay content, and other basic soil properties</t>
  </si>
  <si>
    <t xml:space="preserve">Standard reference methods for texture and basic soil properties</t>
  </si>
  <si>
    <t xml:space="preserve">Derived band reflectance</t>
  </si>
  <si>
    <t xml:space="preserve">Principal components (PCs) and derived band reflectance</t>
  </si>
  <si>
    <t xml:space="preserve">Linear models using PCs/derived band reflectance; PLSR found even better than PC-based and band-reflectance models</t>
  </si>
  <si>
    <t xml:space="preserve">Sand and clay content satisfactorily estimated (R2/RMSE property-dependent)</t>
  </si>
  <si>
    <t xml:space="preserve">Location, arid land-use type</t>
  </si>
  <si>
    <t xml:space="preserve">Restricted (regional Indian arid-zone SSL)</t>
  </si>
  <si>
    <t xml:space="preserve">Rapid assessment of soil resources and land degradation monitoring in hot arid regions</t>
  </si>
  <si>
    <t xml:space="preserve">Conventional soil sampling and lab analysis in hot arid tracts is a formidable, resource-intensive task</t>
  </si>
  <si>
    <t xml:space="preserve">Use PLSR-based reflectance models for rapid soil resource assessment in arid regions; expand the arid-zone spectral library</t>
  </si>
  <si>
    <t xml:space="preserve">A 138-sample vis-NIR-SWIR spectral library for hot arid western Rajasthan enabled satisfactory estimation of sand and clay content, with PLSR models outperforming PC-based and band-reflectance approaches, supporting rapid soil resource assessment and land degradation monitoring in extreme arid environments.</t>
  </si>
  <si>
    <t xml:space="preserve">IN-RAJ</t>
  </si>
  <si>
    <t xml:space="preserve">Makhamreh Z.; Kakish S.; Bani K.H.</t>
  </si>
  <si>
    <t xml:space="preserve">An Investigation of Soil Spectral Characteristics under Different Conditions in Jordan</t>
  </si>
  <si>
    <t xml:space="preserve">10.52939/ijg.v20i6.3335</t>
  </si>
  <si>
    <t xml:space="preserve">Jordan</t>
  </si>
  <si>
    <t xml:space="preserve">143</t>
  </si>
  <si>
    <t xml:space="preserve">Typic Chromoxerets, Haploxeroils, Xerochreptic Calciorthids</t>
  </si>
  <si>
    <t xml:space="preserve">Forest and Agricultural/Cropland</t>
  </si>
  <si>
    <t xml:space="preserve">Surface (soil profile-linked sampling)</t>
  </si>
  <si>
    <t xml:space="preserve">Field sampling paired with soil profile description across northern Jordan</t>
  </si>
  <si>
    <t xml:space="preserve">Field/laboratory spectroradiometer</t>
  </si>
  <si>
    <t xml:space="preserve">Air-dried; chemical analysis via infrared cell in high-frequency induction oven</t>
  </si>
  <si>
    <t xml:space="preserve">Iron oxides, organic carbon, inorganic carbon</t>
  </si>
  <si>
    <t xml:space="preserve">High-frequency induction oven infrared cell analysis; USDA soil classification/profile description</t>
  </si>
  <si>
    <t xml:space="preserve">Feature-space grouping/classification by reflectance-property relationships (not machine-learning regression)</t>
  </si>
  <si>
    <t xml:space="preserve">Qualitative pattern classification (iron-affected, organic-carbon-affected, inorganic-carbon-affected soil groups)</t>
  </si>
  <si>
    <t xml:space="preserve">Soil profile description, USDA classification</t>
  </si>
  <si>
    <t xml:space="preserve">Preliminary soil description/classification using spectroscopy instead of full traditional profile analysis</t>
  </si>
  <si>
    <t xml:space="preserve">Distinguishing overlapping spectral influences of iron, organic and inorganic carbon under varying climatic conditions</t>
  </si>
  <si>
    <t xml:space="preserve">Use soil spectroscopy as a rapid preliminary classification tool ahead of full traditional soil profiling</t>
  </si>
  <si>
    <t xml:space="preserve">Vis-NIR-SWIR reflectance (350-2500 nm) of northern Jordan soils correlated strongly with organic carbon (linked to clay/CEC) and inorganic carbon (linked to silt/carbonate content), supporting spectroscopy as a promising preliminary soil classification tool under varying climatic conditions.</t>
  </si>
  <si>
    <t xml:space="preserve">Spectral characterisation study (143 samples), no library</t>
  </si>
  <si>
    <t xml:space="preserve">Gholizadeh A.; Neumann C.; Chabrillat S.; van Wesemael B.; Castaldi F.; Borůvka L.; Sanderman J.; Klement A.; Hohmann C.</t>
  </si>
  <si>
    <t xml:space="preserve">Soil organic carbon estimation using VNIR–SWIR spectroscopy: The effect of multiple sensors and scanning conditions</t>
  </si>
  <si>
    <t xml:space="preserve">2021</t>
  </si>
  <si>
    <t xml:space="preserve">10.1016/j.still.2021.105017</t>
  </si>
  <si>
    <t xml:space="preserve">Czech Republic</t>
  </si>
  <si>
    <t xml:space="preserve">Agricultural soils</t>
  </si>
  <si>
    <t xml:space="preserve">Sensor-comparison study (143 samples), no library</t>
  </si>
  <si>
    <t xml:space="preserve">Predicting Soil Properties and Interpreting Vis-NIR Models from across Continental United States</t>
  </si>
  <si>
    <t xml:space="preserve">10.3390/s22093187</t>
  </si>
  <si>
    <t xml:space="preserve">KSSL</t>
  </si>
  <si>
    <t xml:space="preserve">USA</t>
  </si>
  <si>
    <t xml:space="preserve">North America</t>
  </si>
  <si>
    <t xml:space="preserve">14574</t>
  </si>
  <si>
    <t xml:space="preserve">Alfisols, Andisols, Aridisols, Entisols, Gelisols, Histosols, Inceptisols, Mollisols, Spodosols, Ultisols, Vertisols</t>
  </si>
  <si>
    <t xml:space="preserve">Multiple horizons (full pedon/profile data)</t>
  </si>
  <si>
    <t xml:space="preserve">14574 samples extracted from NRCS-KSSL database (samples collected 2011-2015), fully described pedons across continental USA</t>
  </si>
  <si>
    <t xml:space="preserve">vis-NIR</t>
  </si>
  <si>
    <t xml:space="preserve">350-2500 (ASD LabSpec 2500)</t>
  </si>
  <si>
    <t xml:space="preserve">ASD LabSpec 2500 vis-NIR spectrometer</t>
  </si>
  <si>
    <t xml:space="preserve">Air-dried, ground, sieved (standardized NRCS methods)</t>
  </si>
  <si>
    <t xml:space="preserve">Soil carbon, texture, and other pedological/analytical properties</t>
  </si>
  <si>
    <t xml:space="preserve">Standardized NRCS reference methods (with NRCS procedure codes)</t>
  </si>
  <si>
    <t xml:space="preserve">Wavelength importance analysis (e.g. ~2300-2400 nm associated with C-H bond combination vibrations)</t>
  </si>
  <si>
    <t xml:space="preserve">Chemometric and machine learning methods (including PLSR and Cubist)</t>
  </si>
  <si>
    <t xml:space="preserve">Model comparison across approaches</t>
  </si>
  <si>
    <t xml:space="preserve">R2/RMSE (property-dependent); wavelength importance attributed to functional groups</t>
  </si>
  <si>
    <t xml:space="preserve">High-quality standardized/well-documented NRCS sample collection, preparation and analysis</t>
  </si>
  <si>
    <t xml:space="preserve">Pedon site, soil layer/horizon, USDA soil order/suborder, NRCS procedure codes</t>
  </si>
  <si>
    <t xml:space="preserve">Restricted (NRCS-KSSL database)</t>
  </si>
  <si>
    <t xml:space="preserve">NRCS standardized soil sampling and analytical protocol</t>
  </si>
  <si>
    <t xml:space="preserve">Continental-scale soil property prediction and interpretation of important wavelengths/functional groups</t>
  </si>
  <si>
    <t xml:space="preserve">Large, high-quality national spectral archives are underutilized; interpreting which wavelengths drive predictions</t>
  </si>
  <si>
    <t xml:space="preserve">Combine chemometric/ML methods with wavelength-importance interpretation to make better use of the extensive NRCS-KSSL spectral archive</t>
  </si>
  <si>
    <t xml:space="preserve">Using ~14,574 samples from the NRCS-KSSL database across the continental USA, the study compared chemometric and machine learning models for vis-NIR soil property prediction and attributed important wavelengths (e.g. 2300-2400 nm) to specific functional groups (C-H bonds), demonstrating how to interpret as well as predict from a large national spectral library.</t>
  </si>
  <si>
    <t xml:space="preserve">Brodský L.; Klement A.; Penížek V.; Kodešová R.; Boruvka L.</t>
  </si>
  <si>
    <t xml:space="preserve">Building soil spectral library of the czech soils for quantitative digital soil mapping</t>
  </si>
  <si>
    <t xml:space="preserve">10.17221/24/2011-swr</t>
  </si>
  <si>
    <t xml:space="preserve">Soil spectral library of the Czech soils (SSL-CZ)</t>
  </si>
  <si>
    <t xml:space="preserve">150</t>
  </si>
  <si>
    <t xml:space="preserve">Chernozem, Cambisol, Arenosol, Phaeozem, Luvisol, Vertisol, Fluvisol, Gleysol</t>
  </si>
  <si>
    <t xml:space="preserve">Topsoil (multiple sites across Czech soil types)</t>
  </si>
  <si>
    <t xml:space="preserve">150 samples covering major Czech soil types (Chernozem, Cambisol, Arenosol, Phaeozem, Luvisol, Vertisol, Fluvisol, Gleysol)</t>
  </si>
  <si>
    <t xml:space="preserve">350-2500 (typical ASD-type range used in this study)</t>
  </si>
  <si>
    <t xml:space="preserve">Soil organic carbon and other basic soil properties (pH, texture, hydrolytic acidity, salinity)</t>
  </si>
  <si>
    <t xml:space="preserve">Standard Czech reference methods (per Klute 1996 / Rhoades 1996 procedures)</t>
  </si>
  <si>
    <t xml:space="preserve">R2/RMSE (property-dependent, not further specified in available sources)</t>
  </si>
  <si>
    <t xml:space="preserve">Soil type/classification, site location</t>
  </si>
  <si>
    <t xml:space="preserve">Restricted (SSL-CZ, national library)</t>
  </si>
  <si>
    <t xml:space="preserve">Quantitative digital soil mapping (DSM) for Czech soils</t>
  </si>
  <si>
    <t xml:space="preserve">Building a sufficiently diverse spectral archive representing major national soil types</t>
  </si>
  <si>
    <t xml:space="preserve">Expand SSL-CZ sample size/diversity to support broader digital soil mapping applications</t>
  </si>
  <si>
    <t xml:space="preserve">Established one of the first Czech national vis-NIR soil spectral libraries (SSL-CZ, 150 samples across 8 major soil types), providing a foundation for quantitative digital soil mapping in the Czech Republic, with subsequent work building on it for SOC mapping uncertainty analysis.</t>
  </si>
  <si>
    <t xml:space="preserve">CZ-SSL</t>
  </si>
  <si>
    <t xml:space="preserve">Bae J.; Seo I.; Hyun J.; Park Y.; Jeong M.; Kim J.; et al.</t>
  </si>
  <si>
    <t xml:space="preserve">A spatially rich, temporally coherent soil spectral dataset for soil organic carbon estimation</t>
  </si>
  <si>
    <t xml:space="preserve">10.1038/s41597-026-06546-3</t>
  </si>
  <si>
    <t xml:space="preserve">G-SSL</t>
  </si>
  <si>
    <t xml:space="preserve">South Korea</t>
  </si>
  <si>
    <t xml:space="preserve">1500</t>
  </si>
  <si>
    <t xml:space="preserve">Topsoil across 11 land cover types</t>
  </si>
  <si>
    <t xml:space="preserve">Forest, Agricultural (Paddy, Upland, Orchard, Greenhouse), Urban Park, Grassland, Riparian</t>
  </si>
  <si>
    <t xml:space="preserve">0-15 cm (topsoil)</t>
  </si>
  <si>
    <t xml:space="preserve">1500 topsoil samples systematically collected across Gyeonggi Province, South Korea (2024), spanning 11 land cover types (forests, paddy/upland fields, orchards, greenhouses, urban parks, artificial grasslands, riparian zones, bare lands)</t>
  </si>
  <si>
    <t xml:space="preserve">1400-2500</t>
  </si>
  <si>
    <t xml:space="preserve">NIR spectrometer (specific model not detailed in available sources)</t>
  </si>
  <si>
    <t xml:space="preserve">Air-dried, ground, sieved (standard topsoil prep)</t>
  </si>
  <si>
    <t xml:space="preserve">Standard SOC reference method (dry combustion, on 712 calibration samples)</t>
  </si>
  <si>
    <t xml:space="preserve">70:30 train-test split</t>
  </si>
  <si>
    <t xml:space="preserve">R2=0.95, RMSE=0.39%, RPD=4.54</t>
  </si>
  <si>
    <t xml:space="preserve">Systematic spatially- and temporally-coherent sampling design across land cover types</t>
  </si>
  <si>
    <t xml:space="preserve">Land cover type, sampling date/location (Gyeonggi Province)</t>
  </si>
  <si>
    <t xml:space="preserve">Open (published dataset, Scientific Data journal)</t>
  </si>
  <si>
    <t xml:space="preserve">High - openly published, designed as a methodological benchmark for other regions</t>
  </si>
  <si>
    <t xml:space="preserve">Systematic province-wide sampling protocol across 11 land cover types</t>
  </si>
  <si>
    <t xml:space="preserve">Digital SOC mapping and climate-mitigation/land-management support for a heterogeneous provincial landscape</t>
  </si>
  <si>
    <t xml:space="preserve">NIR predictive performance depends on calibration datasets with adequate spatiotemporal coverage</t>
  </si>
  <si>
    <t xml:space="preserve">Use the G-SSL as a methodological benchmark for developing region-specific spectral libraries in other heterogeneous landscapes</t>
  </si>
  <si>
    <t xml:space="preserve">The newly published Gyeonggi Soil Spectral Library (G-SSL, 1,500 NIR topsoil samples across 11 land cover types in South Korea) achieved excellent SOC prediction accuracy (R2=0.95, RPD=4.54) using PLSR, establishing a spatially rich, temporally coherent regional library intended as a benchmark for digital SOC mapping in other heterogeneous landscapes.</t>
  </si>
  <si>
    <t xml:space="preserve">KR-GSSL</t>
  </si>
  <si>
    <t xml:space="preserve">Silva E.B.; Giasson É.; Dotto A.C.; Caten A.T.; Demattê J.A.M.; Bacic I.L.Z.; da Veiga M.</t>
  </si>
  <si>
    <t xml:space="preserve">A regional legacy soil dataset for prediction of sand and clay content with VIS-NIR-SWIR, in southern Brazil</t>
  </si>
  <si>
    <t xml:space="preserve">2019</t>
  </si>
  <si>
    <t xml:space="preserve">10.1590/18069657rbcs20180174</t>
  </si>
  <si>
    <t xml:space="preserve">Southern Brazil</t>
  </si>
  <si>
    <t xml:space="preserve">1534</t>
  </si>
  <si>
    <t xml:space="preserve">Inceptisols, Entisols, Ultisols, Oxisols, Aquents</t>
  </si>
  <si>
    <t xml:space="preserve">Soil samples collected across Piauí State, Northeastern Brazil, for regional SSL construction</t>
  </si>
  <si>
    <t xml:space="preserve">1000-2500 (best results); full range also tested</t>
  </si>
  <si>
    <t xml:space="preserve">Soil organic carbon (SOC), pH, and other soil chemical/physical properties</t>
  </si>
  <si>
    <t xml:space="preserve">Standard Brazilian soil analysis reference methods</t>
  </si>
  <si>
    <t xml:space="preserve">Standard Normal Variate (SNV) among most promising; best overall results were without preprocessing for SOC and pH</t>
  </si>
  <si>
    <t xml:space="preserve">Testing full spectrum vs 1000-2500 nm subset</t>
  </si>
  <si>
    <t xml:space="preserve">Cubist (most accurate machine learning model tested)</t>
  </si>
  <si>
    <t xml:space="preserve">Cubist most accurate; SOC and pH predictions best without preprocessing; 1000-2500 nm subset promising despite sensor limitations</t>
  </si>
  <si>
    <t xml:space="preserve">Location within Piauí State</t>
  </si>
  <si>
    <t xml:space="preserve">Restricted (regional Piauí SSL; related to BSSL national effort)</t>
  </si>
  <si>
    <t xml:space="preserve">Rapid, cost-efficient, environmentally friendly soil chemical/physical analysis for Northeastern Brazil using machine learning</t>
  </si>
  <si>
    <t xml:space="preserve">Traditional soil analyses are time-consuming and not cost- or environmentally-efficient; sensor range limitations</t>
  </si>
  <si>
    <t xml:space="preserve">Use Cubist modelling with minimal preprocessing; explore the 1000-2500 nm range further despite sensor limitations</t>
  </si>
  <si>
    <t xml:space="preserve">Building a soil spectral library for Piauí State (Northeastern Brazil), Cubist was the most accurate machine learning model for predicting soil properties, with SOC and pH best predicted without spectral preprocessing, and the 1000-2500 nm subset showing promise despite sensor range limitations.</t>
  </si>
  <si>
    <t xml:space="preserve">Key Findings cell describes the Piauí library, not this paper – fix</t>
  </si>
  <si>
    <t xml:space="preserve">BR-RS</t>
  </si>
  <si>
    <t xml:space="preserve">Shi Z.; Wang Q.L.; Peng J.; Ji W.J.; Liu H.J.; Li X.; Viscarra Rossel R.A.</t>
  </si>
  <si>
    <t xml:space="preserve">Development of a national VNIR soil-spectral library for soil classification and prediction of organic matter concentrations</t>
  </si>
  <si>
    <t xml:space="preserve">2014</t>
  </si>
  <si>
    <t xml:space="preserve">10.1007/s11430-013-4808-x</t>
  </si>
  <si>
    <t xml:space="preserve">Chinese national VNIR soil-spectral library</t>
  </si>
  <si>
    <t xml:space="preserve">China</t>
  </si>
  <si>
    <t xml:space="preserve">1581</t>
  </si>
  <si>
    <t xml:space="preserve">Meadow, Paddy, Black soils, Chernozems, Red earth, Laterite, skeletal soils</t>
  </si>
  <si>
    <t xml:space="preserve">Agricultural, Meadow and Forest</t>
  </si>
  <si>
    <t xml:space="preserve">1581 samples across 14 provinces representing 16 soil groups of the Genetic Soil Classification of China</t>
  </si>
  <si>
    <t xml:space="preserve">Portable vis-NIR spectrometer</t>
  </si>
  <si>
    <t xml:space="preserve">Air-dried, sieved</t>
  </si>
  <si>
    <t xml:space="preserve">Soil organic matter (OM), soil classification/type</t>
  </si>
  <si>
    <t xml:space="preserve">Standard Chinese soil reference methods</t>
  </si>
  <si>
    <t xml:space="preserve">Savitzky-Golay smoothing with first derivative</t>
  </si>
  <si>
    <t xml:space="preserve">PCA (principal components analysis)</t>
  </si>
  <si>
    <t xml:space="preserve">Fuzzy k-means classification; PLSR for OM prediction</t>
  </si>
  <si>
    <t xml:space="preserve">R2, classification accuracy/kappa</t>
  </si>
  <si>
    <t xml:space="preserve">Province, Genetic Soil Classification group</t>
  </si>
  <si>
    <t xml:space="preserve">Restricted (Chinese Soil Spectral Library, CSSL)</t>
  </si>
  <si>
    <t xml:space="preserve">Compilation across 14 provinces into single national library</t>
  </si>
  <si>
    <t xml:space="preserve">National soil classification and organic matter concentration mapping</t>
  </si>
  <si>
    <t xml:space="preserve">High diversity of soil types across a large territory complicating generic calibration</t>
  </si>
  <si>
    <t xml:space="preserve">Stratified/spatially-constrained local modelling approaches (used in later CSSL papers)</t>
  </si>
  <si>
    <t xml:space="preserve">Established the first Chinese national vis-NIR soil spectral library (1,581 samples, 16 soil groups across 14 provinces), demonstrating feasibility of spectral soil classification and organic matter prediction at national scale.</t>
  </si>
  <si>
    <t xml:space="preserve">CN-CSSL</t>
  </si>
  <si>
    <t xml:space="preserve">Metzger K.; Zhang C.; Daly K.</t>
  </si>
  <si>
    <t xml:space="preserve">From benchtop to handheld MIR for soil analysis: Predicting lime requirement and organic matter in agricultural soils</t>
  </si>
  <si>
    <t xml:space="preserve">10.1016/j.biosystemseng.2021.01.025</t>
  </si>
  <si>
    <t xml:space="preserve">Republic of Ireland benchtop MIR library</t>
  </si>
  <si>
    <t xml:space="preserve">Ireland</t>
  </si>
  <si>
    <t xml:space="preserve">160</t>
  </si>
  <si>
    <t xml:space="preserve">Luvisols, Brown Earths, USDA textures: sandy loam, loam, clay loam</t>
  </si>
  <si>
    <t xml:space="preserve">Topsoil (agricultural)</t>
  </si>
  <si>
    <t xml:space="preserve">160 samples used to compare benchtop and handheld MIR instruments, including field-moist samples</t>
  </si>
  <si>
    <t xml:space="preserve">MIR (DRIFTS)</t>
  </si>
  <si>
    <t xml:space="preserve">MIR range; wavenumbers below 1300 cm-1 found less affected by water absorption</t>
  </si>
  <si>
    <t xml:space="preserve">Bench-top FTIR (DRIFTS) vs handheld/portable MIR spectrometer</t>
  </si>
  <si>
    <t xml:space="preserve">Comparison of dried/ground samples (benchtop) vs field-moist samples (handheld)</t>
  </si>
  <si>
    <t xml:space="preserve">Laboratory (benchtop) and field-moist (handheld) conditions compared</t>
  </si>
  <si>
    <t xml:space="preserve">Lime requirement (LR), organic matter (OM)</t>
  </si>
  <si>
    <t xml:space="preserve">Standard lime requirement/base neutralizing capacity and organic matter reference methods</t>
  </si>
  <si>
    <t xml:space="preserve">Moisture correction; focus on wavenumbers below 1300 cm-1 less impacted by water absorption</t>
  </si>
  <si>
    <t xml:space="preserve">Selection of water-insensitive spectral regions (below 1300 cm-1)</t>
  </si>
  <si>
    <t xml:space="preserve">PLSR and machine learning models comparing benchtop vs handheld spectra</t>
  </si>
  <si>
    <t xml:space="preserve">Cross-validation; benchtop vs handheld comparison</t>
  </si>
  <si>
    <t xml:space="preserve">R2/RMSE (property-dependent); handheld predictions degraded by soil moisture but improved using water-insensitive wavenumber regions</t>
  </si>
  <si>
    <t xml:space="preserve">Moisture-effect correction; compatibility check with existing spectral libraries/calibrations</t>
  </si>
  <si>
    <t xml:space="preserve">Instrument type, moisture status of sample</t>
  </si>
  <si>
    <t xml:space="preserve">Restricted (Irish research dataset)</t>
  </si>
  <si>
    <t xml:space="preserve">Identifying wavenumber regions compatible across benchtop and handheld MIR instruments to enable calibration transfer</t>
  </si>
  <si>
    <t xml:space="preserve">Field-deployable MIR-based lime requirement and organic matter prediction using handheld instruments</t>
  </si>
  <si>
    <t xml:space="preserve">Soil water content in field-moist samples obscures spectral signal, reducing handheld MIR prediction accuracy; compatibility with existing benchtop-derived calibrations</t>
  </si>
  <si>
    <t xml:space="preserve">Focus predictive models on water-insensitive MIR wavenumber regions (&lt;1300 cm-1) to improve handheld/field-moist sample performance</t>
  </si>
  <si>
    <t xml:space="preserve">Comparing benchtop and handheld MIR spectrometers for predicting lime requirement and organic matter in Irish agricultural soils, the study found that soil moisture degraded handheld/field predictions, but that focusing on wavenumbers below 1300 cm-1 (less water-sensitive) improved compatibility between handheld field measurements and benchtop-based calibrations.</t>
  </si>
  <si>
    <t xml:space="preserve">Benchtop vs handheld calibration (160 samples), not presented as a library</t>
  </si>
  <si>
    <t xml:space="preserve">Ng W.; Husnain; Anggria L.; Siregar A.F.; Hartatik W.; Sulaeman Y.; Jones E.; Minasny B.</t>
  </si>
  <si>
    <t xml:space="preserve">Developing a soil spectral library using a low-cost NIR spectrometer for precision fertilization in Indonesia</t>
  </si>
  <si>
    <t xml:space="preserve">2020</t>
  </si>
  <si>
    <t xml:space="preserve">10.1016/j.geodrs.2020.e00319</t>
  </si>
  <si>
    <t xml:space="preserve">Indonesian Soil Spectral Library</t>
  </si>
  <si>
    <t xml:space="preserve">Indonesia</t>
  </si>
  <si>
    <t xml:space="preserve">1601</t>
  </si>
  <si>
    <t xml:space="preserve">Volcanic soils</t>
  </si>
  <si>
    <t xml:space="preserve">1601 samples from Indonesian volcanic-influenced agricultural soils, linked to field fertilizer trials</t>
  </si>
  <si>
    <t xml:space="preserve">1300-2600</t>
  </si>
  <si>
    <t xml:space="preserve">NeoSpectra miniature/low-cost NIR spectrometer</t>
  </si>
  <si>
    <t xml:space="preserve">Soil texture, pH, carbon, soil nutrients (N, P, K)</t>
  </si>
  <si>
    <t xml:space="preserve">Standard Indonesian soil fertility reference methods</t>
  </si>
  <si>
    <t xml:space="preserve">PLSR regression models plus categorical models for nutrient-level classification; Mitscherlich-Bray (MB) equations for fertilizer recommendation</t>
  </si>
  <si>
    <t xml:space="preserve">Mixed accuracy; e.g. pH R2 approx 0.52-0.60 depending on study/spectrometer</t>
  </si>
  <si>
    <t xml:space="preserve">Crop type, location, fertilizer trial data</t>
  </si>
  <si>
    <t xml:space="preserve">Restricted (Indonesian agricultural ministry-linked dataset)</t>
  </si>
  <si>
    <t xml:space="preserve">Precision fertilization recommendations for food crops using low-cost NIR spectroscopy</t>
  </si>
  <si>
    <t xml:space="preserve">Miniature/low-cost NIR spectrometers show mixed, sometimes lower accuracy (e.g. for pH) compared to lab-grade spectrometers</t>
  </si>
  <si>
    <t xml:space="preserve">Apply correction factors and further testing of low-cost SWIR/NIR spectrometer configurations to improve fertilizer recommendation accuracy</t>
  </si>
  <si>
    <t xml:space="preserve">A soil spectral library built with a low-cost NeoSpectra NIR spectrometer (1300-2600 nm) enabled fertilizer nutrient-level classification and Mitscherlich-Bray-based fertilizer recommendations for Indonesian food crops, though prediction accuracy for some properties (e.g. pH) was more modest than with laboratory-grade instruments.</t>
  </si>
  <si>
    <t xml:space="preserve">ID-ISSL</t>
  </si>
  <si>
    <t xml:space="preserve">Novais J.J.M.; Rosin N.A.; Rosas J.T.F.; Poppiel R.R.; Dotto A.C.; Paiva A.F.S.; Bellinaso H.; Albarracín H.S.R.; Amorim M.T.A.; dos Bartsch B.A.; Vogel L.G.; Mello D.C.; Francelino M.R.; Alves M.R.; Falcioni R.; Demattê J.A.M.</t>
  </si>
  <si>
    <t xml:space="preserve">The Brazilian Soil Spectral Library data opening</t>
  </si>
  <si>
    <t xml:space="preserve">10.19047/0136-1694-2024-119-261-305</t>
  </si>
  <si>
    <t xml:space="preserve">16084</t>
  </si>
  <si>
    <t xml:space="preserve">Tropical Soils</t>
  </si>
  <si>
    <t xml:space="preserve">Agriculture/Pasture and Forest</t>
  </si>
  <si>
    <t xml:space="preserve">Extends / updates</t>
  </si>
  <si>
    <t xml:space="preserve">Rizzo R.; Demattê J.A.M.; Lepsch I.F.; Gallo B.C.; Fongaro C.T.</t>
  </si>
  <si>
    <t xml:space="preserve">Digital soil mapping at local scale using a multi-depth Vis-NIR spectral library and terrain attributes</t>
  </si>
  <si>
    <t xml:space="preserve">10.1016/j.geoderma.2016.03.019</t>
  </si>
  <si>
    <t xml:space="preserve">Multi-depth Vis-NIR spectral library (SRSSL)</t>
  </si>
  <si>
    <t xml:space="preserve">162</t>
  </si>
  <si>
    <t xml:space="preserve">Cambissolos, Latossolos, Nitossolos, Argissolos, Neossolos</t>
  </si>
  <si>
    <t xml:space="preserve">Multi-depth (topsoil and subsoil profiles)</t>
  </si>
  <si>
    <t xml:space="preserve">162 sample locations on a 270-ha farm in Piracicaba, São Paulo, Brazil; combined with regional spectral library and terrain attributes</t>
  </si>
  <si>
    <t xml:space="preserve">Soil type/class (for digital soil mapping)</t>
  </si>
  <si>
    <t xml:space="preserve">Standard reference methods supporting soil classification</t>
  </si>
  <si>
    <t xml:space="preserve">Terrain attributes combined with spectral data as covariates</t>
  </si>
  <si>
    <t xml:space="preserve">Digital soil mapping combining local Vis-NIR spectra, a regional spectral library, and terrain attributes</t>
  </si>
  <si>
    <t xml:space="preserve">Cross-validation; accuracy assessment by landscape position/soil class</t>
  </si>
  <si>
    <t xml:space="preserve">Lower classification accuracy for soils in lower landscape positions and for Cambisols</t>
  </si>
  <si>
    <t xml:space="preserve">Terrain attributes, landscape position, farm location</t>
  </si>
  <si>
    <t xml:space="preserve">Restricted (regional Brazilian SSL - SRSSL)</t>
  </si>
  <si>
    <t xml:space="preserve">Combines local samples with a regional spectral library to extend training data for local DSM</t>
  </si>
  <si>
    <t xml:space="preserve">Local-scale digital soil mapping (DSM) for farm-level soil classification</t>
  </si>
  <si>
    <t xml:space="preserve">Reduced accuracy for soils at lower landscape positions and certain soil classes (Cambisols)</t>
  </si>
  <si>
    <t xml:space="preserve">Combine spectral libraries with terrain attributes to improve local DSM, particularly further addressing lower-landscape-position soils</t>
  </si>
  <si>
    <t xml:space="preserve">Combining local Vis-NIR spectra, a regional Brazilian spectral library, and terrain attributes produced an effective farm-scale (270 ha) digital soil map in Piracicaba, Brazil, though accuracy was lower for soils in lower landscape positions and for Cambisols.</t>
  </si>
  <si>
    <t xml:space="preserve">Regional Brazilian library assumed to be BSSL – check</t>
  </si>
  <si>
    <t xml:space="preserve">Tziolas N.; Tsakiridis N.; Ogen Y.; Kalopesa E.; Ben-Dor E.; Theocharis J.; Zalidis G.</t>
  </si>
  <si>
    <t xml:space="preserve">An integrated methodology using open soil spectral libraries and Earth Observation data for soil organic carbon estimations in support of soil-related SDGs</t>
  </si>
  <si>
    <t xml:space="preserve">10.1016/j.rse.2020.111793</t>
  </si>
  <si>
    <t xml:space="preserve">GEO-CRADLE</t>
  </si>
  <si>
    <t xml:space="preserve">Cross regional</t>
  </si>
  <si>
    <t xml:space="preserve">Greece, Israel, Albania, Bulgaria, Serbia, Turkey, Cyprus, Egypt</t>
  </si>
  <si>
    <t xml:space="preserve">Europe-Asia-Africa</t>
  </si>
  <si>
    <t xml:space="preserve">1627</t>
  </si>
  <si>
    <t xml:space="preserve">Cambisols, Fluvisols, Gleysols, Histosols, Luvisols, Phaeozems, Vertisols, Arenosols, Chernozems, Leptosols, Planosols, Umbrisols, Calcisols, Regosols, Gypsisols, Kastanozems, Solonchaks, Solonetz</t>
  </si>
  <si>
    <t xml:space="preserve">GEO-CRADLE regional SSL combined with in-situ and Earth Observation (EO) data</t>
  </si>
  <si>
    <t xml:space="preserve">VNIR-SWIR</t>
  </si>
  <si>
    <t xml:space="preserve">400-2500</t>
  </si>
  <si>
    <t xml:space="preserve">ASD FieldSpec-type spectroradiometer (laboratory); satellite/airborne EO sensors</t>
  </si>
  <si>
    <t xml:space="preserve">Air-dried, sieved, ground</t>
  </si>
  <si>
    <t xml:space="preserve">Laboratory (SSL) and satellite/EO imagery</t>
  </si>
  <si>
    <t xml:space="preserve">Standard SOC reference methods</t>
  </si>
  <si>
    <t xml:space="preserve">Memory-based learning (MBL) algorithms integrated with EO data</t>
  </si>
  <si>
    <t xml:space="preserve">R2/RMSE for SOC estimation (property-dependent)</t>
  </si>
  <si>
    <t xml:space="preserve">Location, EO imagery metadata</t>
  </si>
  <si>
    <t xml:space="preserve">Open soil spectral libraries + EO data (open resources emphasized)</t>
  </si>
  <si>
    <t xml:space="preserve">Designed for open, cost-efficient application across countries of differing capacity</t>
  </si>
  <si>
    <t xml:space="preserve">Bridges regional in-situ SSL with contemporary/forthcoming satellite EO systems via MBL</t>
  </si>
  <si>
    <t xml:space="preserve">Large-scale, cost-efficient SOC mapping in support of Sustainable Development Goal (SDG) soil monitoring</t>
  </si>
  <si>
    <t xml:space="preserve">Countries with limited capacity/resources for dense in-situ soil monitoring</t>
  </si>
  <si>
    <t xml:space="preserve">Wider integration of open SSLs with contemporary and forthcoming satellite EO missions for global SDG soil monitoring</t>
  </si>
  <si>
    <t xml:space="preserve">Combining the open GEO-CRADLE soil spectral library with Earth Observation data via memory-based learning enabled cost-efficient, large-scale SOC mapping applicable across countries with differing levels of development, supporting soil-related SDG monitoring.</t>
  </si>
  <si>
    <t xml:space="preserve">MED-GEOCRADLE</t>
  </si>
  <si>
    <t xml:space="preserve">Tziolas N.; Tsakiridis N.; Ben-Dor E.; Theocharis J.; Zalidis G.</t>
  </si>
  <si>
    <t xml:space="preserve">A memory-based learning approach utilizing combined spectral sources and geographical proximity for improved VIS-NIR-SWIR soil properties estimation</t>
  </si>
  <si>
    <t xml:space="preserve">10.1016/j.geoderma.2018.12.044</t>
  </si>
  <si>
    <t xml:space="preserve">Europe-Africa-Asia</t>
  </si>
  <si>
    <t xml:space="preserve">1760</t>
  </si>
  <si>
    <t xml:space="preserve">Agricultural/Cropland</t>
  </si>
  <si>
    <t xml:space="preserve">Compiled multi-country regional library across Balkan/Middle East/North Africa</t>
  </si>
  <si>
    <t xml:space="preserve">VIS-NIR-SWIR</t>
  </si>
  <si>
    <t xml:space="preserve">ASD FieldSpec-type spectroradiometer (laboratory)</t>
  </si>
  <si>
    <t xml:space="preserve">SOC, texture, pH, calcium carbonates (CaCO3)</t>
  </si>
  <si>
    <t xml:space="preserve">Standard wet-chemistry reference methods</t>
  </si>
  <si>
    <t xml:space="preserve">Geographical proximity weighting combined with spectral similarity</t>
  </si>
  <si>
    <t xml:space="preserve">Memory-based learning (MBL) combining spectral sources and geographic proximity</t>
  </si>
  <si>
    <t xml:space="preserve">R2, RMSE (property-dependent)</t>
  </si>
  <si>
    <t xml:space="preserve">Geographic coordinates, soil type</t>
  </si>
  <si>
    <t xml:space="preserve">Restricted/regional (GEO-CRADLE network)</t>
  </si>
  <si>
    <t xml:space="preserve">Combination of multiple national/regional spectral sources via MBL with geographic weighting</t>
  </si>
  <si>
    <t xml:space="preserve">Cross-regional soil property estimation (SOC, texture, pH, CaCO3)</t>
  </si>
  <si>
    <t xml:space="preserve">Combining heterogeneous spectral sources across countries with different soil types</t>
  </si>
  <si>
    <t xml:space="preserve">Extend memory-based learning approach to more regions and properties</t>
  </si>
  <si>
    <t xml:space="preserve">A memory-based learning approach that incorporates geographical proximity alongside spectral similarity improved VIS-NIR-SWIR soil property estimation accuracy across a diverse, multi-country Balkan/MENA soil dataset (GEO-CRADLE).</t>
  </si>
  <si>
    <t xml:space="preserve">Summerauer L.; Baumann P.; Ramirez-Lopez L.; Barthel M.; Bauters M.; Bukombe B.; Reichenbach M.; Boeckx P.; Kearsley E.; Van Oost K.; Vanlauwe B.; Chiragaga D.; Heri-Kazi A.B.; Moonen P.; Sila A.; Shepherd K.; Bazirake Mujinya B.; Van Ranst E.; Baert G.; Doetterl S.; Six J.</t>
  </si>
  <si>
    <t xml:space="preserve">The central African soil spectral library: A new soil infrared repository and a geographical prediction analysis</t>
  </si>
  <si>
    <t xml:space="preserve">10.5194/soil-7-693-2021</t>
  </si>
  <si>
    <t xml:space="preserve">AfSIS</t>
  </si>
  <si>
    <t xml:space="preserve">DRC, Rwanda, Uganda</t>
  </si>
  <si>
    <t xml:space="preserve">1800</t>
  </si>
  <si>
    <t xml:space="preserve">Ferralsols, Acrisols, Phaeozems, Nitisols, Luvisols, Cambisols, Gleysols, Andosols</t>
  </si>
  <si>
    <t xml:space="preserve">Tropical forest and Agricultural/Cropland</t>
  </si>
  <si>
    <t xml:space="preserve">Variable (e.g. 5-10 cm and deeper; compiled from multiple studies)</t>
  </si>
  <si>
    <t xml:space="preserve">Over 1800 samples from 10 distinct geoclimatic regions across the Congo Basin and Albertine Rift (DRC, Rwanda, Uganda); nearest-neighbor validation for new regions</t>
  </si>
  <si>
    <t xml:space="preserve">MIR</t>
  </si>
  <si>
    <t xml:space="preserve">MIR range, resampled to 16 cm-1 resolution</t>
  </si>
  <si>
    <t xml:space="preserve">Bruker MIR (FTIR) spectrometer (Germany)</t>
  </si>
  <si>
    <t xml:space="preserve">Resampled to 16 cm-1</t>
  </si>
  <si>
    <t xml:space="preserve">Air-dried, ground, sieved; replicate spectra aggregated to one average per sample</t>
  </si>
  <si>
    <t xml:space="preserve">Total carbon (TC), total nitrogen (TN)</t>
  </si>
  <si>
    <t xml:space="preserve">Dry combustion / standard wet chemistry reference methods</t>
  </si>
  <si>
    <t xml:space="preserve">Replicate averaging, resampling to 16 cm-1, trimming; PCA for dimension reduction</t>
  </si>
  <si>
    <t xml:space="preserve">PCA-based dimension reduction</t>
  </si>
  <si>
    <t xml:space="preserve">PLS regression; combined with continental AfSIS SSL</t>
  </si>
  <si>
    <t xml:space="preserve">Nearest-neighbor validation for predictions in new geographical regions</t>
  </si>
  <si>
    <t xml:space="preserve">RMSEpred improved when CSSL added to AfSIS SSL vs AfSIS alone (region-dependent)</t>
  </si>
  <si>
    <t xml:space="preserve">Replicate spectral measurements aggregated per sample</t>
  </si>
  <si>
    <t xml:space="preserve">GPS coordinates, elevation, annual precipitation, mean annual temperature, Koppen-Geiger climate, soil type</t>
  </si>
  <si>
    <t xml:space="preserve">Open (GitHub repository; openly available for reuse and enlargement)</t>
  </si>
  <si>
    <t xml:space="preserve">High - openly available with rich geoclimatic metadata, designed for community expansion</t>
  </si>
  <si>
    <t xml:space="preserve">Consistent MIR resampling/preprocessing pipeline</t>
  </si>
  <si>
    <t xml:space="preserve">Combining the new CSSL with the continental AfSIS SSL to enrich the spectral feature space</t>
  </si>
  <si>
    <t xml:space="preserve">Cost-effective prediction of TC and TN in an understudied central African region; reducing wet-chemistry needs</t>
  </si>
  <si>
    <t xml:space="preserve">Scarcity of spatially explicit soil data for central Africa; geographical extrapolation to new regions</t>
  </si>
  <si>
    <t xml:space="preserve">Enlarge the open CSSL with more spectral/reference data; combine regional and continental libraries to improve diagnostic accuracy</t>
  </si>
  <si>
    <t xml:space="preserve">The open central African soil spectral library (&gt;1,800 MIR samples across 10 geoclimatic regions of the Congo Basin/Albertine Rift) added valuable soil diversity that improved TC and TN predictions for the region beyond the continental AfSIS library alone, providing a cost-effective tool for an understudied part of Africa.</t>
  </si>
  <si>
    <t xml:space="preserve">AF-CENTRAL</t>
  </si>
  <si>
    <t xml:space="preserve">Cambou A.; Houssoukpèvi I.A.; Chevallier T.; Moulin P.; Rakotondrazafy N.M.; Fonkeng E.E.; Harmand J.-M.; Aholoukpè H.N.S.; Amadji G.L.; Tabi F.O.; Chapuis-Lardy L.; Barthès B.G.</t>
  </si>
  <si>
    <t xml:space="preserve">Quantification of soil organic carbon in particle size fractions using a near-infrared spectral library in West Africa</t>
  </si>
  <si>
    <t xml:space="preserve">10.1016/j.geoderma.2024.116818</t>
  </si>
  <si>
    <t xml:space="preserve">Near-infrared spectral library in West Africa</t>
  </si>
  <si>
    <t xml:space="preserve">Benin, Burkina Faso, Congo, Togo, Cameroon</t>
  </si>
  <si>
    <t xml:space="preserve">181</t>
  </si>
  <si>
    <t xml:space="preserve">Ferralic Arenosols, Haplic Lixisols, Pisoplinthic Plinthosols, Orthic Ferralsols, Nitisols</t>
  </si>
  <si>
    <t xml:space="preserve">Agricultural/Cropland, Plantation, Savannah and Forest</t>
  </si>
  <si>
    <t xml:space="preserve">AF-WEST</t>
  </si>
  <si>
    <t xml:space="preserve">Ng W.; Minasny B.; Jones E.; McBratney A.</t>
  </si>
  <si>
    <t xml:space="preserve">To spike or to localize? Strategies to improve the prediction of local soil properties using regional spectral library</t>
  </si>
  <si>
    <t xml:space="preserve">10.1016/j.geoderma.2021.115501</t>
  </si>
  <si>
    <t xml:space="preserve">New South Wales, Australia RSSL</t>
  </si>
  <si>
    <t xml:space="preserve">New South Wales, Australia</t>
  </si>
  <si>
    <t xml:space="preserve">1867</t>
  </si>
  <si>
    <t xml:space="preserve">Regional Australian Soils</t>
  </si>
  <si>
    <t xml:space="preserve">AU-NSW</t>
  </si>
  <si>
    <t xml:space="preserve">Rossel R.A.V.; Jeon Y.S.; Odeh I.O.A.; McBratney A.B.</t>
  </si>
  <si>
    <t xml:space="preserve">Using a legacy soil sample to develop a mid-IR spectral library</t>
  </si>
  <si>
    <t xml:space="preserve">2008</t>
  </si>
  <si>
    <t xml:space="preserve">10.1071/SR07099</t>
  </si>
  <si>
    <t xml:space="preserve">Soil mid-IR diffuse reflectance spectral library for cotton-growing regions of eastern Australia</t>
  </si>
  <si>
    <t xml:space="preserve">Eastern regions, Australia</t>
  </si>
  <si>
    <t xml:space="preserve">1878</t>
  </si>
  <si>
    <t xml:space="preserve">Vertosols, Kandosols, Dermosols, Sodosols, Tenosols, Rudosols, Chromosols</t>
  </si>
  <si>
    <t xml:space="preserve">Agricultural/Plantation</t>
  </si>
  <si>
    <t xml:space="preserve">Multiple soil layers (grouped by region and soil layer)</t>
  </si>
  <si>
    <t xml:space="preserve">1878 legacy samples from the Australian Cotton CRC soil database; 213 representative samples selected in multivariate space for the library</t>
  </si>
  <si>
    <t xml:space="preserve">Standard MIR range (~2500-25000 nm / 4000-400 cm-1)</t>
  </si>
  <si>
    <t xml:space="preserve">Mid-IR (FTIR) diffuse reflectance spectrometer</t>
  </si>
  <si>
    <t xml:space="preserve">Air-dried, ground, sieved (legacy archived samples)</t>
  </si>
  <si>
    <t xml:space="preserve">Multiple soil properties (predicted with uncertainty by region and layer)</t>
  </si>
  <si>
    <t xml:space="preserve">Australian Laboratory Handbook of Soil and Water Chemical Methods (Rayment &amp; Higginson 1992)</t>
  </si>
  <si>
    <t xml:space="preserve">Savitzky-Golay smoothing/derivatives</t>
  </si>
  <si>
    <t xml:space="preserve">Selection of 213 representative samples across multivariate space</t>
  </si>
  <si>
    <t xml:space="preserve">PLSR (and bagging-PLSR) with 95% confidence interval uncertainty estimation</t>
  </si>
  <si>
    <t xml:space="preserve">Predictions grouped/validated by region and soil layer</t>
  </si>
  <si>
    <t xml:space="preserve">R2/RMSE with 95% confidence intervals (property-dependent)</t>
  </si>
  <si>
    <t xml:space="preserve">Emphasis on 'quality in = quality out': careful sampling, handling, prep, storage, scanning, and reference procedures</t>
  </si>
  <si>
    <t xml:space="preserve">Region, soil layer, soil type (Chromosols etc.)</t>
  </si>
  <si>
    <t xml:space="preserve">Restricted (Australian Cotton CRC legacy database)</t>
  </si>
  <si>
    <t xml:space="preserve">Repurposing a legacy archived soil sample collection into a spectral library</t>
  </si>
  <si>
    <t xml:space="preserve">MIR spectral prediction of soil properties for cotton-growing regions of eastern Australia</t>
  </si>
  <si>
    <t xml:space="preserve">Ensuring legacy samples adequately describe regional soil variability; quality of sampling/handling/reference data</t>
  </si>
  <si>
    <t xml:space="preserve">Use existing legacy soil archives to cost-effectively build MIR spectral libraries, with careful attention to data quality and representative sample selection</t>
  </si>
  <si>
    <t xml:space="preserve">This influential early study built a MIR diffuse-reflectance spectral library from legacy archived soil samples of eastern Australian cotton regions (213 representative samples from 1,878), demonstrating that existing soil archives can be cost-effectively repurposed into predictive spectral libraries provided sampling, handling, and reference-data quality are carefully controlled.</t>
  </si>
  <si>
    <t xml:space="preserve">AU-COTTON</t>
  </si>
  <si>
    <t xml:space="preserve">Ward K.J.; Chabrillat S.; Brell M.; Castaldi F.; Spengler D.; Foerster S.</t>
  </si>
  <si>
    <t xml:space="preserve">Mapping soil organic carbon for airborne and simulated enmap imagery using the lucas soil database and a local plsr</t>
  </si>
  <si>
    <t xml:space="preserve">10.3390/rs12203451</t>
  </si>
  <si>
    <t xml:space="preserve">Germany</t>
  </si>
  <si>
    <t xml:space="preserve">190</t>
  </si>
  <si>
    <t xml:space="preserve">Loamy sands, Sandy loams, Peat soils</t>
  </si>
  <si>
    <t xml:space="preserve">Francos N.; Heller-Pearlshtien D.; Dematte J.A.M.; Van Wesemael B.; Milewski R.; Chabrillat S.; Tziolas N.; Sanz Diaz A.; Yague Ballester M.J.; Gholizadeh A.; Ben-Dor E.</t>
  </si>
  <si>
    <t xml:space="preserve">A Spectral Transfer Function to Harmonize Existing Soil Spectral Libraries Generated by Different Protocols</t>
  </si>
  <si>
    <t xml:space="preserve">10.1155/2023/4155390</t>
  </si>
  <si>
    <t xml:space="preserve">LUCAS / BSSL (transfer function study)</t>
  </si>
  <si>
    <t xml:space="preserve">Europe, South America</t>
  </si>
  <si>
    <t xml:space="preserve">19036 (LUCAS) / 29363 (BSSL)</t>
  </si>
  <si>
    <t xml:space="preserve">Mineral soils (LUCAS), tropical soils (BSSL)</t>
  </si>
  <si>
    <t xml:space="preserve">Agricultural/Cropland and Tropical</t>
  </si>
  <si>
    <t xml:space="preserve">Topsoil (subset of LUCAS 2009-2012 and BSSL 2019)</t>
  </si>
  <si>
    <t xml:space="preserve">Rectification-group subsets of LUCAS and BSSL remeasured with and without the Internal Soil Standard (ISS) protocol</t>
  </si>
  <si>
    <t xml:space="preserve">350-2500 (resampled to 10 nm interval)</t>
  </si>
  <si>
    <t xml:space="preserve">ASD-type laboratory spectrometer</t>
  </si>
  <si>
    <t xml:space="preserve">Resampled to 10 nm sampling interval</t>
  </si>
  <si>
    <t xml:space="preserve">Air-dried, sieved, ground; remeasured with Lucky Bay (LB) Internal Soil Standard</t>
  </si>
  <si>
    <t xml:space="preserve">Soil organic carbon (OC)</t>
  </si>
  <si>
    <t xml:space="preserve">Standard OC reference methods (per LUCAS/BSSL protocols)</t>
  </si>
  <si>
    <t xml:space="preserve">Spectral similarity metrics (ASDS, SAM) between ISS and ISS-TF spectra</t>
  </si>
  <si>
    <t xml:space="preserve">Random Forest (RF) spectral models; machine-learning-derived Transfer Function (TF)</t>
  </si>
  <si>
    <t xml:space="preserve">Cross-validation; comparison of merged vs unmerged SSL predictions</t>
  </si>
  <si>
    <t xml:space="preserve">OC prediction improved after TF-merging: R2=0.69, RMSE=11.13 g/kg</t>
  </si>
  <si>
    <t xml:space="preserve">Internal Soil Standard (ISS) using Lucky Bay (LB) reference soil</t>
  </si>
  <si>
    <t xml:space="preserve">Library of origin (LUCAS/BSSL), protocol used</t>
  </si>
  <si>
    <t xml:space="preserve">Restricted (subsets of LUCAS and BSSL)</t>
  </si>
  <si>
    <t xml:space="preserve">Internal Soil Standard (ISS) / Lucky Bay (LB) protocol; feeds into IEEE P4005 standard</t>
  </si>
  <si>
    <t xml:space="preserve">Spectral Transfer Function (TF) derived from ISS-remeasured rectification subsets, enabling merging of libraries built under different protocols</t>
  </si>
  <si>
    <t xml:space="preserve">Harmonizing/merging soil spectral libraries built under different measurement protocols for combined OC prediction</t>
  </si>
  <si>
    <t xml:space="preserve">Different labs/protocols create systematic spectral offsets preventing direct merging of existing SSLs</t>
  </si>
  <si>
    <t xml:space="preserve">Wider adoption of ISS protocol; use of transfer functions to rectify legacy libraries lacking ISS measurements</t>
  </si>
  <si>
    <t xml:space="preserve">A spectral transfer function derived from ISS-remeasured subsets of LUCAS and BSSL allowed the two libraries to be harmonized post-hoc, improving merged organic carbon prediction accuracy (R2=0.69) despite the libraries having been built under different original protocols.</t>
  </si>
  <si>
    <t xml:space="preserve">Moura-Bueno J.M.; Dalmolin R.S.D.; Horst-Heinen T.Z.; ten Caten A.; Vasques G.M.; Dotto A.C.; Grunwald S.</t>
  </si>
  <si>
    <t xml:space="preserve">When does stratification of a subtropical soil spectral library improve predictions of soil organic carbon content?</t>
  </si>
  <si>
    <t xml:space="preserve">10.1016/j.scitotenv.2020.139895</t>
  </si>
  <si>
    <t xml:space="preserve">Subtropical soil spectral library (Southern Brazil)</t>
  </si>
  <si>
    <t xml:space="preserve">Southern states, Brazil</t>
  </si>
  <si>
    <t xml:space="preserve">1966</t>
  </si>
  <si>
    <t xml:space="preserve">Ferralsols, Nitisols, Acrisols/Alisols, Cambisols, Regosols, Leptosols, Gleysols, Histosols, Planosols, Podzols, Vertisols, Arenosols, Chernozems</t>
  </si>
  <si>
    <t xml:space="preserve">Agricultural/Pastures and Forests</t>
  </si>
  <si>
    <t xml:space="preserve">1966 samples from a subtropical SSL (southern Brazil), stratified into sub-libraries by environmental, pedological, and spectral criteria</t>
  </si>
  <si>
    <t xml:space="preserve">Soil organic carbon (SOC); clay content</t>
  </si>
  <si>
    <t xml:space="preserve">Standard reference methods for SOC and clay</t>
  </si>
  <si>
    <t xml:space="preserve">Stratification by physiographic region, land-use/land-cover (LULC), soil texture, and spectral classes</t>
  </si>
  <si>
    <t xml:space="preserve">PLSR on global (unstratified) vs stratified sub-libraries</t>
  </si>
  <si>
    <t xml:space="preserve">Cross-validation; comparison of stratified vs global model accuracy</t>
  </si>
  <si>
    <t xml:space="preserve">Stratification by LULC and physiographic region gave the greatest accuracy increase over the global model (reduced SOC/clay/spectral variance)</t>
  </si>
  <si>
    <t xml:space="preserve">Physiographic region, LULC, soil texture, coordinates, soil group</t>
  </si>
  <si>
    <t xml:space="preserve">Restricted (subtropical southern Brazil SSL)</t>
  </si>
  <si>
    <t xml:space="preserve">Stratification of a large heterogeneous library into homogeneous sub-libraries by environmental/pedological/spectral criteria</t>
  </si>
  <si>
    <t xml:space="preserve">Improving SOC prediction accuracy from a subtropical spectral library via stratification</t>
  </si>
  <si>
    <t xml:space="preserve">Larger sample size increases environmental variance, which can reduce model performance; stratification reduces calibration sample numbers</t>
  </si>
  <si>
    <t xml:space="preserve">Stratify SSLs by LULC and physiographic region (reducing target-property and spectral variance) to improve SOC prediction, balancing against reduced sub-library sample size</t>
  </si>
  <si>
    <t xml:space="preserve">Stratifying a 1,966-sample subtropical southern Brazilian soil spectral library into homogeneous sub-libraries improved SOC prediction accuracy over a global (unstratified) model, with stratification by land-use/land-cover and physiographic region giving the greatest gains by reducing SOC, clay, and spectral variance.</t>
  </si>
  <si>
    <t xml:space="preserve">BR-SUBTROP</t>
  </si>
  <si>
    <t xml:space="preserve">Nocita M.; Stevens A.; Toth G.; Panagos P.; van Wesemael B.; Montanarella L.</t>
  </si>
  <si>
    <t xml:space="preserve">Prediction of soil organic carbon content by diffuse reflectance spectroscopy using a local partial least square regression approach</t>
  </si>
  <si>
    <t xml:space="preserve">10.1016/j.soilbio.2013.10.022</t>
  </si>
  <si>
    <t xml:space="preserve">Multiple European Countries</t>
  </si>
  <si>
    <t xml:space="preserve">19969</t>
  </si>
  <si>
    <t xml:space="preserve">Mineral (Cropland, Grassland, Woodland) and Organic soil materials</t>
  </si>
  <si>
    <t xml:space="preserve">Agricultural/Cropland, Grassland, and Forest</t>
  </si>
  <si>
    <t xml:space="preserve">Topsoil (0-20 cm)</t>
  </si>
  <si>
    <t xml:space="preserve">~19969 topsoil samples from the LUCAS survey across the European continent, measured in a single laboratory</t>
  </si>
  <si>
    <t xml:space="preserve">350-2500 (typical LUCAS vis-NIR range)</t>
  </si>
  <si>
    <t xml:space="preserve">Single laboratory vis-NIR diffuse reflectance spectrometer</t>
  </si>
  <si>
    <t xml:space="preserve">Laboratory (single central lab)</t>
  </si>
  <si>
    <t xml:space="preserve">Soil organic carbon (SOC); 13 soil properties measured in LUCAS</t>
  </si>
  <si>
    <t xml:space="preserve">Standard LUCAS reference methods (single lab)</t>
  </si>
  <si>
    <t xml:space="preserve">Geographical coordinates and sand content used as covariates in modified local algorithm</t>
  </si>
  <si>
    <t xml:space="preserve">Modified local PLSR (local regression algorithm incorporating geographic coordinates and sand content)</t>
  </si>
  <si>
    <t xml:space="preserve">Cross-validation; separate mineral vs organic soil modelling</t>
  </si>
  <si>
    <t xml:space="preserve">RMSE: cropland 3.6 g C/kg, grassland 7.2 g C/kg, woodland 11.9 g C/kg, organic soils 51.1 g C/kg; best results using sand as covariate</t>
  </si>
  <si>
    <t xml:space="preserve">Single-lab measurement reduces inter-lab variability</t>
  </si>
  <si>
    <t xml:space="preserve">Geographic coordinates, land use, sand content</t>
  </si>
  <si>
    <t xml:space="preserve">Restricted (LUCAS topsoil database)</t>
  </si>
  <si>
    <t xml:space="preserve">Single-laboratory LUCAS measurement protocol</t>
  </si>
  <si>
    <t xml:space="preserve">Splitting dataset into mineral vs organic soils; local regression with geographic/textural covariates</t>
  </si>
  <si>
    <t xml:space="preserve">Continental-scale SOC prediction across European land uses</t>
  </si>
  <si>
    <t xml:space="preserve">Large spatial variation of SOC; higher errors for woodland and organic soils</t>
  </si>
  <si>
    <t xml:space="preserve">Incorporate sand content and geographic coordinates as covariates in local PLSR to improve continental SOC prediction</t>
  </si>
  <si>
    <t xml:space="preserve">Using the ~20,000-sample LUCAS topsoil spectral library, a modified local PLSR approach incorporating sand content and geographic coordinates predicted SOC well for cropland (RMSE 3.6 g C/kg) and grassland (7.2), but with larger errors for woodland (11.9) and organic soils (51.1), with sand content as a covariate giving the best results.</t>
  </si>
  <si>
    <t xml:space="preserve">Moloney J.P.; Malone B.P.; Karunaratne S.; Stockmann U.</t>
  </si>
  <si>
    <t xml:space="preserve">Leveraging large soil spectral libraries for sensor-agnostic field condition predictions of several agronomically important soil properties</t>
  </si>
  <si>
    <t xml:space="preserve">10.1016/j.geoderma.2023.116651</t>
  </si>
  <si>
    <t xml:space="preserve">CSIRO national Australian Vis-NIR soil spectral library</t>
  </si>
  <si>
    <t xml:space="preserve">Australia</t>
  </si>
  <si>
    <t xml:space="preserve">200</t>
  </si>
  <si>
    <t xml:space="preserve">Yellow/Red Chromosols, Kurosols, Red/Yellow Dermosols, Kandosols, Yellow Sodosols</t>
  </si>
  <si>
    <t xml:space="preserve">Agricultural/Research</t>
  </si>
  <si>
    <t xml:space="preserve">Agricultural soils (multiple depths)</t>
  </si>
  <si>
    <t xml:space="preserve">Large existing laboratory-grade Vis-NIR spectral library leveraged for field-condition predictions with low-cost sensors (Australian/CSIRO context)</t>
  </si>
  <si>
    <t xml:space="preserve">350-2500 (laboratory library); low-cost NIR sensors cover subsets</t>
  </si>
  <si>
    <t xml:space="preserve">Laboratory-grade Vis-NIR spectrometers (library) plus low-cost NIR spectrometers (field)</t>
  </si>
  <si>
    <t xml:space="preserve">Varies by sensor (laboratory vs low-cost)</t>
  </si>
  <si>
    <t xml:space="preserve">Library: dried/ground; Field: field-condition (moist, unprocessed) scans</t>
  </si>
  <si>
    <t xml:space="preserve">Laboratory library applied to field-condition scans (sensor- and condition-agnostic)</t>
  </si>
  <si>
    <t xml:space="preserve">Several agronomically important properties (e.g. SOC, pH, texture)</t>
  </si>
  <si>
    <t xml:space="preserve">Standard reference methods</t>
  </si>
  <si>
    <t xml:space="preserve">Library filtering and spectral transformations to enable cross-sensor/condition use</t>
  </si>
  <si>
    <t xml:space="preserve">Memory-based learning localization of large filtered/transformed libraries</t>
  </si>
  <si>
    <t xml:space="preserve">Memory-based learning (MBL) / localized modelling on large transformed libraries</t>
  </si>
  <si>
    <t xml:space="preserve">Field-condition prediction validation across sensors and conditions</t>
  </si>
  <si>
    <t xml:space="preserve">Demonstrated large Vis-NIR libraries usable in a sensor- and condition-agnostic manner for field monitoring</t>
  </si>
  <si>
    <t xml:space="preserve">Sensor type, measurement condition</t>
  </si>
  <si>
    <t xml:space="preserve">Restricted (large Australian/CSIRO library)</t>
  </si>
  <si>
    <t xml:space="preserve">Spectral filtering and transformation enabling a laboratory library to be used sensor- and condition-agnostically</t>
  </si>
  <si>
    <t xml:space="preserve">Cost-effective field soil monitoring (SOC sequestration, soil health incentive programs) using low-cost NIR sensors with existing laboratory libraries</t>
  </si>
  <si>
    <t xml:space="preserve">High cost of laboratory-grade Vis-NIR sensors limits field application; field-condition and cross-sensor spectral differences</t>
  </si>
  <si>
    <t xml:space="preserve">Leverage large existing laboratory Vis-NIR libraries in a sensor- and condition-agnostic way (memory-based learning) so low-cost field spectrometers can be used for soil monitoring</t>
  </si>
  <si>
    <t xml:space="preserve">This study showed that large laboratory-grade Vis-NIR spectral libraries can be filtered, transformed, and localized via memory-based learning to make sensor- and condition-agnostic field predictions of several agronomically important soil properties, enabling low-cost NIR spectrometers to exploit existing libraries for cost-effective soil monitoring.</t>
  </si>
  <si>
    <t xml:space="preserve">AU-VNIR</t>
  </si>
  <si>
    <t xml:space="preserve">Jia S.; Hong C.; Li H.; Li Y.; Hu S.</t>
  </si>
  <si>
    <t xml:space="preserve">Strategies and methods for predicting soil organic matter at the field scale based on the provincial near infrared spectral database</t>
  </si>
  <si>
    <t xml:space="preserve">10.17221/133/2022-SWR</t>
  </si>
  <si>
    <t xml:space="preserve">Soil spectral library of Zhejiang Province (ZSSL)</t>
  </si>
  <si>
    <t xml:space="preserve">Zhejiang Province, China</t>
  </si>
  <si>
    <t xml:space="preserve">2069</t>
  </si>
  <si>
    <t xml:space="preserve">Paddy soil, red loam, yellow loam, moisture soil, coastal saline soil</t>
  </si>
  <si>
    <t xml:space="preserve">CN-ZJ</t>
  </si>
  <si>
    <t xml:space="preserve">Novais J.J.M.; Melo B.M.D.; Neves Junior A.F.; Lima R.H.C.; de Souza R.E.; Melo V.F.; do Amaral E.F.; Tziolas N.; Demattê J.A.M.</t>
  </si>
  <si>
    <t xml:space="preserve">Online analysis of Amazon's soils through reflectance spectroscopy and cloud computing can support policies and the sustainable development</t>
  </si>
  <si>
    <t xml:space="preserve">10.1016/j.jenvman.2025.124155</t>
  </si>
  <si>
    <t xml:space="preserve">Brazilian soil spectral Service (BraSpecS)</t>
  </si>
  <si>
    <t xml:space="preserve">211</t>
  </si>
  <si>
    <t xml:space="preserve">Alisols, Cambisols, Podzols, Plinthosols, Gleysols, Ferralsols, Chernozems, Nitisols, Lixisols, Leptosols, Arenosols, Fluvisols, Solonetz, Luvisols</t>
  </si>
  <si>
    <t xml:space="preserve">Forest, Agricultural/Pasture, Anthropogenic</t>
  </si>
  <si>
    <t xml:space="preserve">BR-BRASPECS</t>
  </si>
  <si>
    <t xml:space="preserve">Fohrafellner J.; Lippl M.; Bajraktarevic A.; Baumgarten A.; Spiegel H.; Körner R.; Sandén T.</t>
  </si>
  <si>
    <t xml:space="preserve">Austrian NIR soil spectral library for soil health assessments</t>
  </si>
  <si>
    <t xml:space="preserve">10.5194/essd-18-219-2026</t>
  </si>
  <si>
    <t xml:space="preserve">Austria</t>
  </si>
  <si>
    <t xml:space="preserve">2129</t>
  </si>
  <si>
    <t xml:space="preserve">Agricultural mineral soils</t>
  </si>
  <si>
    <t xml:space="preserve">Agricultural/Arable, Grassland, Forest, Urban</t>
  </si>
  <si>
    <t xml:space="preserve">Topsoil (legacy samples)</t>
  </si>
  <si>
    <t xml:space="preserve">Legacy soil samples covering all Austrian environmental zones, compiled within the ProbeField project</t>
  </si>
  <si>
    <t xml:space="preserve">NIR spectrophotometer</t>
  </si>
  <si>
    <t xml:space="preserve">Air-dried, ground legacy soil samples</t>
  </si>
  <si>
    <t xml:space="preserve">SOC, SOC:clay ratio, total carbon, labile carbon, CaCO3, total nitrogen (and other fertility properties)</t>
  </si>
  <si>
    <t xml:space="preserve">Standard reference lab methods (per legacy sample records)</t>
  </si>
  <si>
    <t xml:space="preserve">Machine learning/chemometric calibration models (property-specific)</t>
  </si>
  <si>
    <t xml:space="preserve">Cross-validation vs routine laboratory analysis</t>
  </si>
  <si>
    <t xml:space="preserve">R2/RMSE - predictive accuracy insufficient for most properties, but several key properties (e.g. carbon-related) showed predictive potential</t>
  </si>
  <si>
    <t xml:space="preserve">Sample number, sampling year, zip code, environmental zone, land use</t>
  </si>
  <si>
    <t xml:space="preserve">Open (Zenodo, versioned dataset, CC-BY 4.0)</t>
  </si>
  <si>
    <t xml:space="preserve">High - openly accessible with detailed metadata legend, part of EJP SOIL open data initiative</t>
  </si>
  <si>
    <t xml:space="preserve">ProbeField project protocol (EJP SOIL, EU Horizon 2020)</t>
  </si>
  <si>
    <t xml:space="preserve">Field spectra closely matched to laboratory spectra to enable model transfer</t>
  </si>
  <si>
    <t xml:space="preserve">National soil health assessment; foundation for field-based fertility property prediction (ProbeField)</t>
  </si>
  <si>
    <t xml:space="preserve">Predictive accuracy insufficient for most properties compared to routine lab analysis at this stage</t>
  </si>
  <si>
    <t xml:space="preserve">Use the open library as a foundation for further spectral analysis/modelling; extend to 2D/3D digital soil mapping with covariates</t>
  </si>
  <si>
    <t xml:space="preserve">The first openly accessible Austrian NIR soil spectral library (&gt;2,100 legacy samples across all environmental zones) shows predictive potential for select carbon-related properties, though overall accuracy still lags routine lab analysis; it is offered as an open foundation (via Zenodo) for further model development and field-based soil health assessment.</t>
  </si>
  <si>
    <t xml:space="preserve">AT-NIR</t>
  </si>
  <si>
    <t xml:space="preserve">Turgut Y.S.; Koca Y.K.</t>
  </si>
  <si>
    <t xml:space="preserve">Predictive mapping of soil texture using vis–NIR spectroscopy and machine learning in semi-arid Eastern Mediterranean</t>
  </si>
  <si>
    <t xml:space="preserve">10.1016/j.asr.2026.04.065</t>
  </si>
  <si>
    <t xml:space="preserve">Adana, Turkey</t>
  </si>
  <si>
    <t xml:space="preserve">214</t>
  </si>
  <si>
    <t xml:space="preserve">Entisols, Inceptisols, Vertisols, Mollisols, Alfisols</t>
  </si>
  <si>
    <t xml:space="preserve">Agricultural/Cropland and Forest</t>
  </si>
  <si>
    <t xml:space="preserve">Local texture-mapping study (214 samples), no library</t>
  </si>
  <si>
    <t xml:space="preserve">Brosens L.; Robinet J.; Pelckmans I.; Ameijeiras-Mariño Y.; Govers G.; Opfergelt S.; Minella J.P.G.; Vanderborght J.</t>
  </si>
  <si>
    <t xml:space="preserve">Have land use and land cover change affected soil thickness and weathering degree in a subtropical region in Southern Brazil? Insights from applied mid-infrared spectroscopy</t>
  </si>
  <si>
    <t xml:space="preserve">10.1016/j.catena.2021.105698</t>
  </si>
  <si>
    <t xml:space="preserve">229</t>
  </si>
  <si>
    <t xml:space="preserve">Acrisols, Leptosols, Cambisols</t>
  </si>
  <si>
    <t xml:space="preserve">Forest, Agricultural (Cropland/Pasture), Plantations</t>
  </si>
  <si>
    <t xml:space="preserve">Soil profiles (topsoil to subsoil; weathering/thickness study)</t>
  </si>
  <si>
    <t xml:space="preserve">Soil samples from paired catchments under different land use/land cover in a subtropical region of southern Brazil; calibrated with samples from Vanacker et al. (2019) collected in the same catchments</t>
  </si>
  <si>
    <t xml:space="preserve">Bench-top FTIR (MIR) spectrometer</t>
  </si>
  <si>
    <t xml:space="preserve">Multiple weathering indices; soil thickness and weathering degree</t>
  </si>
  <si>
    <t xml:space="preserve">Reference geochemical/weathering index methods</t>
  </si>
  <si>
    <t xml:space="preserve">PLSR (MIR calibration to predict weathering indices)</t>
  </si>
  <si>
    <t xml:space="preserve">Cross-validation using co-located calibration samples</t>
  </si>
  <si>
    <t xml:space="preserve">R2/RMSE (weathering-index-dependent)</t>
  </si>
  <si>
    <t xml:space="preserve">Catchment, land use/land cover, profile depth</t>
  </si>
  <si>
    <t xml:space="preserve">Restricted (subtropical southern Brazil dataset)</t>
  </si>
  <si>
    <t xml:space="preserve">Using an existing co-located sample set to calibrate MIR predictions of weathering indices</t>
  </si>
  <si>
    <t xml:space="preserve">Using applied MIR spectroscopy to assess whether land use/land cover change affected soil thickness and weathering degree</t>
  </si>
  <si>
    <t xml:space="preserve">Disentangling land-use effects from intrinsic pedogenic/weathering variability using spectral proxies</t>
  </si>
  <si>
    <t xml:space="preserve">Apply MIR spectroscopy as a rapid proxy for weathering indices in land-use change and soil-formation studies</t>
  </si>
  <si>
    <t xml:space="preserve">This study applied mid-infrared spectroscopy with PLSR to predict multiple weathering indices in paired subtropical southern Brazilian catchments, investigating whether land use and land cover change affected soil thickness and weathering degree, demonstrating MIR spectroscopy as a rapid proxy for pedogenic/weathering assessment.</t>
  </si>
  <si>
    <t xml:space="preserve">Two-catchment MIR study (229 samples), no library</t>
  </si>
  <si>
    <t xml:space="preserve">Greenberg I.; Seidel M.; Vohland M.; Ludwig B.</t>
  </si>
  <si>
    <t xml:space="preserve">Performance of field-scale lab vs in situ visible/near- and midinfrared spectroscopy for estimation of soil properties</t>
  </si>
  <si>
    <t xml:space="preserve">10.1111/ejss.13180</t>
  </si>
  <si>
    <t xml:space="preserve">Field/Local</t>
  </si>
  <si>
    <t xml:space="preserve">238</t>
  </si>
  <si>
    <t xml:space="preserve">Silt loam Haplic Luvisol</t>
  </si>
  <si>
    <t xml:space="preserve">Field-scale comparison, no library</t>
  </si>
  <si>
    <t xml:space="preserve">Kokaly R.F.; Clark R.N.; Swayze G.A.; Livo K.E.; Hoefen T.M.; Pearson N.C.; Wise R.A.; Benzel W.M.; Lowers H.A.; Driscoll R.L.; Klein A.J.</t>
  </si>
  <si>
    <t xml:space="preserve">USGS Spectral Library Version 7: U.S. Geological Survey Data Series</t>
  </si>
  <si>
    <t xml:space="preserve">2017</t>
  </si>
  <si>
    <t xml:space="preserve">10.3133/ds1035</t>
  </si>
  <si>
    <t xml:space="preserve">USGS SL</t>
  </si>
  <si>
    <t xml:space="preserve">2456</t>
  </si>
  <si>
    <t xml:space="preserve">Grasslands, semiarid shrublands, biological soil crusts, temperate evergreen forests, California chaparral, coastal wetlands</t>
  </si>
  <si>
    <t xml:space="preserve">Grasslands, semiarid shrublands, forests, California chaparral, and coastal wetlands</t>
  </si>
  <si>
    <t xml:space="preserve">Not applicable (reference laboratory/field spectra of materials)</t>
  </si>
  <si>
    <t xml:space="preserve">2456 reference spectra of minerals, rocks, soils, plants, chemical compounds, man-made materials, and mixtures</t>
  </si>
  <si>
    <t xml:space="preserve">UV, VIS, NIR, SWIR, MIR, thermal/far-infrared</t>
  </si>
  <si>
    <t xml:space="preserve">200-200000 (0.2-200 micron)</t>
  </si>
  <si>
    <t xml:space="preserve">Laboratory, field, and airborne spectrometers (multiple)</t>
  </si>
  <si>
    <t xml:space="preserve">Instrument-dependent; high-resolution reference spectra</t>
  </si>
  <si>
    <t xml:space="preserve">Laboratory samples, often purified so spectral features relate to chemical structure</t>
  </si>
  <si>
    <t xml:space="preserve">Laboratory, field, and airborne</t>
  </si>
  <si>
    <t xml:space="preserve">Material/mineral identity (spectral reference, not quantitative soil chemistry)</t>
  </si>
  <si>
    <t xml:space="preserve">Reference spectroscopy with chemical characterization</t>
  </si>
  <si>
    <t xml:space="preserve">SPECPR format packaging; documented artifacts</t>
  </si>
  <si>
    <t xml:space="preserve">Not applicable</t>
  </si>
  <si>
    <t xml:space="preserve">Not applicable (reference spectral library, not a prediction model)</t>
  </si>
  <si>
    <t xml:space="preserve">Purified samples with spectro-chemical links; documented possible artifacts</t>
  </si>
  <si>
    <t xml:space="preserve">Instrument used, sample and spectrum metadata descriptions, sample images</t>
  </si>
  <si>
    <t xml:space="preserve">Open (public domain; USGS data release, DOI 10.5066/F7RR1WDJ)</t>
  </si>
  <si>
    <t xml:space="preserve">High - public domain USGS reference library with full metadata and free SPECPR software</t>
  </si>
  <si>
    <t xml:space="preserve">USGS SPECPR/PRISM spectral processing standards</t>
  </si>
  <si>
    <t xml:space="preserve">Supersedes and consolidates prior USGS spectral library versions (4, 5, 6)</t>
  </si>
  <si>
    <t xml:space="preserve">Reference endmembers for remote sensing detection/mapping of minerals, soils, and materials</t>
  </si>
  <si>
    <t xml:space="preserve">VSWIR and TIR measured with different instruments/calibration; documented spectral artifacts to account for</t>
  </si>
  <si>
    <t xml:space="preserve">Use as authoritative reference library for spectral identification and remote sensing unmixing</t>
  </si>
  <si>
    <t xml:space="preserve">The USGS Spectral Library v7 is a comprehensive public-domain reference library (2,456 spectra spanning 0.2-200 micron across UV to far-infrared) of minerals, rocks, soils, vegetation, and man-made materials, purified to link spectral features to chemical structure, serving as an authoritative remote-sensing reference rather than a predictive soil library.</t>
  </si>
  <si>
    <t xml:space="preserve">General-materials library (minerals, rocks, vegetation), not soil-specific</t>
  </si>
  <si>
    <t xml:space="preserve">Cho Y.; Sheridan A.H.; Sudduth K.A.; Veum K.S.</t>
  </si>
  <si>
    <t xml:space="preserve">Comparison of field and laboratory VNIR spectroscopy for profile soil property estimation</t>
  </si>
  <si>
    <t xml:space="preserve">10.13031/trans.12299</t>
  </si>
  <si>
    <t xml:space="preserve">Missouri profile soil property estimation dataset</t>
  </si>
  <si>
    <t xml:space="preserve">Missouri, USA</t>
  </si>
  <si>
    <t xml:space="preserve">252</t>
  </si>
  <si>
    <t xml:space="preserve">Claypan soils</t>
  </si>
  <si>
    <t xml:space="preserve">Profile to ~1 m depth</t>
  </si>
  <si>
    <t xml:space="preserve">Soil cores from treatment blocks representing topsoil-depth variability at Univ. of Missouri South Farm Research Center (claypan soils)</t>
  </si>
  <si>
    <t xml:space="preserve">VNIR</t>
  </si>
  <si>
    <t xml:space="preserve">343-2222 (Veris P4000 profile probe range)</t>
  </si>
  <si>
    <t xml:space="preserve">Veris P4000 in-situ profile DRS probe (field) vs laboratory VNIR spectrometer</t>
  </si>
  <si>
    <t xml:space="preserve">Laboratory: air-dried, ground, sieved; Field: undisturbed in-situ profile scan</t>
  </si>
  <si>
    <t xml:space="preserve">Both laboratory (dried soil) and in-situ field profile scanning compared</t>
  </si>
  <si>
    <t xml:space="preserve">Soil carbon, nitrogen, water content, texture</t>
  </si>
  <si>
    <t xml:space="preserve">Standard reference lab methods for C, N, texture</t>
  </si>
  <si>
    <t xml:space="preserve">PLSR (typical for this research group's related profile-probe studies)</t>
  </si>
  <si>
    <t xml:space="preserve">Cross-validation; comparison of field vs lab estimates</t>
  </si>
  <si>
    <t xml:space="preserve">R2 varies by property; laboratory spectra generally outperformed field/in-situ profile spectra</t>
  </si>
  <si>
    <t xml:space="preserve">Depth, field location, treatment block (topsoil depth variability)</t>
  </si>
  <si>
    <t xml:space="preserve">Restricted (USDA-ARS Missouri research dataset)</t>
  </si>
  <si>
    <t xml:space="preserve">In-situ profile soil property estimation for precision agriculture on claypan soils</t>
  </si>
  <si>
    <t xml:space="preserve">Field/in-situ spectra affected by soil moisture, surface roughness, and profile heterogeneity, reducing prediction accuracy relative to lab spectra</t>
  </si>
  <si>
    <t xml:space="preserve">Combine profile VNIR with complementary sensors (EC, penetrometer) to improve in-situ property estimation</t>
  </si>
  <si>
    <t xml:space="preserve">Comparing an in-situ profile VNIR probe (Veris P4000) against laboratory VNIR spectroscopy on Missouri claypan soils, the study found that laboratory-based spectra generally provided more accurate profile soil property estimates than field/in-situ measurements, highlighting persistent challenges of moving spectroscopy from lab to field.</t>
  </si>
  <si>
    <t xml:space="preserve">Single-field profile study (Missouri), no library</t>
  </si>
  <si>
    <t xml:space="preserve">Mendes W.S.; Boechat C.L.; Gualberto A.V.S.; Barbosa R.S.; da Silva Y.J.A.B.; Saraiva P.C.; de Sena A.F.S.; Duarte L.S.L.</t>
  </si>
  <si>
    <t xml:space="preserve">Soil spectral library of piauí state using machine learning for laboratory analysis in Northeastern Brazil</t>
  </si>
  <si>
    <t xml:space="preserve">10.36783/18069657rbcs20200115</t>
  </si>
  <si>
    <t xml:space="preserve">Soil spectral library of the Piauí State</t>
  </si>
  <si>
    <t xml:space="preserve">Piauí State, Brazil</t>
  </si>
  <si>
    <t xml:space="preserve">262</t>
  </si>
  <si>
    <t xml:space="preserve">Tropical soils</t>
  </si>
  <si>
    <t xml:space="preserve">Agricultural/Pastures</t>
  </si>
  <si>
    <t xml:space="preserve">BR-PI</t>
  </si>
  <si>
    <t xml:space="preserve">Conforti M.; Matteucci G.; Buttafuoco G.</t>
  </si>
  <si>
    <t xml:space="preserve">Using laboratory Vis-NIR spectroscopy for monitoring some forest soil properties</t>
  </si>
  <si>
    <t xml:space="preserve">2018</t>
  </si>
  <si>
    <t xml:space="preserve">10.1007/s11368-017-1766-5</t>
  </si>
  <si>
    <t xml:space="preserve">Calabria RSSL</t>
  </si>
  <si>
    <t xml:space="preserve">Calabria, Italy</t>
  </si>
  <si>
    <t xml:space="preserve">267</t>
  </si>
  <si>
    <t xml:space="preserve">Forest soils</t>
  </si>
  <si>
    <t xml:space="preserve">Forest</t>
  </si>
  <si>
    <t xml:space="preserve">0-20 cm</t>
  </si>
  <si>
    <t xml:space="preserve">267 sample locations across a representative forest area in Calabria, southern Italy</t>
  </si>
  <si>
    <t xml:space="preserve">ASD FieldSpec IV spectroradiometer (artificial light)</t>
  </si>
  <si>
    <t xml:space="preserve">Oven-dried, passed through 2-mm sieve</t>
  </si>
  <si>
    <t xml:space="preserve">Laboratory (artificial light)</t>
  </si>
  <si>
    <t xml:space="preserve">Soil organic carbon (SOC), total nitrogen (TN), pH, texture (sand, silt, clay)</t>
  </si>
  <si>
    <t xml:space="preserve">Conventional laboratory chemical/physical methods</t>
  </si>
  <si>
    <t xml:space="preserve">Not specified in available sources (standard preprocessing)</t>
  </si>
  <si>
    <t xml:space="preserve">PLSR (partial least squares regression)</t>
  </si>
  <si>
    <t xml:space="preserve">R2/RMSE (property-dependent, best for SOC/TN)</t>
  </si>
  <si>
    <t xml:space="preserve">Location, landscape position, forest type</t>
  </si>
  <si>
    <t xml:space="preserve">Restricted (regional Calabria forest SSL)</t>
  </si>
  <si>
    <t xml:space="preserve">Cost-effective monitoring of forest soil properties (SOC, TN, pH, texture) for sustainable land management</t>
  </si>
  <si>
    <t xml:space="preserve">Standard soil texture/property analysis is time-consuming and costly for forest areas</t>
  </si>
  <si>
    <t xml:space="preserve">Adopt laboratory Vis-NIR + PLSR as a rapid alternative to conventional analysis for forest soil monitoring</t>
  </si>
  <si>
    <t xml:space="preserve">Laboratory Vis-NIR spectroscopy coupled with PLSR effectively predicted key forest soil properties (SOC, TN, pH, and texture) across 267 sites in a representative southern Italian (Calabria) forest, supporting it as a rapid, cost-effective alternative to conventional laboratory analysis for sustainable forest land management.</t>
  </si>
  <si>
    <t xml:space="preserve">IT-CAL</t>
  </si>
  <si>
    <t xml:space="preserve">Shi Z.; Ji W.; Viscarra Rossel R.A.; Chen S.; Zhou Y.</t>
  </si>
  <si>
    <t xml:space="preserve">Prediction of soil organic matter using a spatially constrained local partial least squares regression and the Chinese vis-NIR spectral library</t>
  </si>
  <si>
    <t xml:space="preserve">10.1111/ejss.12272</t>
  </si>
  <si>
    <t xml:space="preserve">Chinese Soil Spectral Library (CSSL)/LUCAS SSL</t>
  </si>
  <si>
    <t xml:space="preserve">2732</t>
  </si>
  <si>
    <t xml:space="preserve">Phaezems, Chernozems, Kastanozems, Anthrosols, Luvisols, Haplic Alisols, Arenosols, Regosols, Humic Alisols, Eutric Cambisols, Solonchak</t>
  </si>
  <si>
    <t xml:space="preserve">2732 samples from the Chinese Soil Spectral Library, with spatial constraints applied to local calibration set selection</t>
  </si>
  <si>
    <t xml:space="preserve">vis-NIR spectrometer</t>
  </si>
  <si>
    <t xml:space="preserve">Soil organic matter (SOM)</t>
  </si>
  <si>
    <t xml:space="preserve">Standard SOM reference method</t>
  </si>
  <si>
    <t xml:space="preserve">Spatial constraint (geographic proximity) added to local calibration sample selection</t>
  </si>
  <si>
    <t xml:space="preserve">Spatially constrained local PLSR (spc-LPLSR)</t>
  </si>
  <si>
    <t xml:space="preserve">Cross-validation; comparison of local vs spatially-constrained-local models</t>
  </si>
  <si>
    <t xml:space="preserve">R2/RMSE (property-dependent); spatial constraint improved SOM prediction over standard local PLSR</t>
  </si>
  <si>
    <t xml:space="preserve">Spatially constrained local sample selection from a national library</t>
  </si>
  <si>
    <t xml:space="preserve">Improving national-library-based SOM prediction for new spectral readings using spatial constraints</t>
  </si>
  <si>
    <t xml:space="preserve">Determining the best way to use regional/national/global libraries to predict at new local sites</t>
  </si>
  <si>
    <t xml:space="preserve">Add spatial constraints (geographic proximity) to local PLSR calibration selection to improve prediction from large libraries</t>
  </si>
  <si>
    <t xml:space="preserve">Adding a spatial constraint (geographic proximity) to local PLSR calibration-set selection from the 2,732-sample Chinese vis-NIR soil spectral library improved soil organic matter prediction accuracy compared with standard (non-spatial) local PLSR, addressing how best to exploit large libraries for new local predictions.</t>
  </si>
  <si>
    <t xml:space="preserve">Shepherd K.D.; Walsh M.G.</t>
  </si>
  <si>
    <t xml:space="preserve">Development of reflectance spectral libraries for characterization of soil properties</t>
  </si>
  <si>
    <t xml:space="preserve">2002</t>
  </si>
  <si>
    <t xml:space="preserve">10.2136/sssaj2002.9880</t>
  </si>
  <si>
    <t xml:space="preserve">Africa soils library</t>
  </si>
  <si>
    <t xml:space="preserve">Eastern and Southern Africa</t>
  </si>
  <si>
    <t xml:space="preserve">274 (South Africa) / 697 (Eastern Africa)</t>
  </si>
  <si>
    <t xml:space="preserve">Main soil types represented</t>
  </si>
  <si>
    <t xml:space="preserve">Over 1000 archived topsoils from eastern and southern Africa; one-third randomly withheld for validation</t>
  </si>
  <si>
    <t xml:space="preserve">350-2500 (0.35-2.5 micron)</t>
  </si>
  <si>
    <t xml:space="preserve">Portable spectrometer with artificial light source</t>
  </si>
  <si>
    <t xml:space="preserve">Air-dried soil fines</t>
  </si>
  <si>
    <t xml:space="preserve">Exchangeable Ca, Mg, K; ECEC; organic C; clay content; sand content; pH; extractable P; N mineralization potential</t>
  </si>
  <si>
    <t xml:space="preserve">Classification trees for diagnostic screening tests</t>
  </si>
  <si>
    <t xml:space="preserve">Multivariate Adaptive Regression Splines (MARS); classification trees for screening tests</t>
  </si>
  <si>
    <t xml:space="preserve">One-third random hold-out validation</t>
  </si>
  <si>
    <t xml:space="preserve">Validation R2: exchangeable Ca 0.88, ECEC 0.88, exchangeable Mg 0.81, organic C 0.80, clay 0.80, sand 0.76, pH 0.70; screening test likelihood ratios up to 10.8 (ECEC&lt;4.0)</t>
  </si>
  <si>
    <t xml:space="preserve">Iterative improvement via detection of spectral outliers among new samples</t>
  </si>
  <si>
    <t xml:space="preserve">Location (eastern/southern Africa), soil archive origin</t>
  </si>
  <si>
    <t xml:space="preserve">Restricted (ICRAF archive-based library)</t>
  </si>
  <si>
    <t xml:space="preserve">Rapid, non-destructive diagnostic screening of soil fertility constraints for land management in developing countries</t>
  </si>
  <si>
    <t xml:space="preserve">Effect of sample size on prediction accuracy; detecting spectral outliers in new samples</t>
  </si>
  <si>
    <t xml:space="preserve">Use spectral library approach with iterative outlier detection to expand predictive value over time; apply diagnostic screening (classification tree) tests for practical soil fertility risk assessment</t>
  </si>
  <si>
    <t xml:space="preserve">One of the earliest large soil spectral libraries (&gt;1,000 African topsoils) demonstrated strong vis-NIR-SWIR prediction of key fertility properties (R2 0.70-0.88) using MARS models, plus diagnostic screening tests for fertility constraints, establishing a foundational approach for spectral library-based soil diagnostics still used today (e.g. ICRAF/KSSL descendants).</t>
  </si>
  <si>
    <t xml:space="preserve">AF-ICRAF-ESA</t>
  </si>
  <si>
    <t xml:space="preserve">Peng Y.; Knadel M.; Gislum R.; Deng F.; Norgaard T.; De Jonge L.W.; Moldrup P.; Greve M.H.</t>
  </si>
  <si>
    <t xml:space="preserve">Predicting soil organic carbon at field scale using a national soil spectral library</t>
  </si>
  <si>
    <t xml:space="preserve">2013</t>
  </si>
  <si>
    <t xml:space="preserve">10.1255/jnirs.1053</t>
  </si>
  <si>
    <t xml:space="preserve">Danish Soil Spectral Library</t>
  </si>
  <si>
    <t xml:space="preserve">Denmark</t>
  </si>
  <si>
    <t xml:space="preserve">2851</t>
  </si>
  <si>
    <t xml:space="preserve">Mineral soils in moraine landscapes</t>
  </si>
  <si>
    <t xml:space="preserve">35 target-field samples predicted using the Danish national SSL (2688 samples), a spiked library (2718), and three sub-sets selected by different criteria</t>
  </si>
  <si>
    <t xml:space="preserve">350-2500 (typical vis-NIR range)</t>
  </si>
  <si>
    <t xml:space="preserve">vis-NIR diffuse reflectance spectrometer</t>
  </si>
  <si>
    <t xml:space="preserve">Standard SOC reference method (dry combustion)</t>
  </si>
  <si>
    <t xml:space="preserve">Three sub-set selection methods: geographically closest (84), same landscape/parent material (96), most spectrally similar</t>
  </si>
  <si>
    <t xml:space="preserve">PLSR; spiking (adding 30 local samples to the national library)</t>
  </si>
  <si>
    <t xml:space="preserve">Field-scale validation on 35 samples from one field</t>
  </si>
  <si>
    <t xml:space="preserve">R2/RMSE (property-dependent); spiking and targeted sub-setting improved field-scale SOC prediction over the full national library</t>
  </si>
  <si>
    <t xml:space="preserve">Landscape, parent material, geographic location</t>
  </si>
  <si>
    <t xml:space="preserve">Restricted (Danish national SSL)</t>
  </si>
  <si>
    <t xml:space="preserve">Spiking a national library with local samples; sub-setting by geographic/landscape/spectral similarity</t>
  </si>
  <si>
    <t xml:space="preserve">Field-scale SOC prediction leveraging a national spectral library</t>
  </si>
  <si>
    <t xml:space="preserve">A large national library may not optimally represent a specific target field without local adaptation</t>
  </si>
  <si>
    <t xml:space="preserve">Spike national libraries with a small number of local samples, or select geographically/spectrally similar sub-sets, to improve field-scale prediction accuracy</t>
  </si>
  <si>
    <t xml:space="preserve">Predicting SOC for a single Danish field, spiking the national Danish soil spectral library (2,688 samples) with 30 local samples, or selecting geographically/spectrally similar sub-sets, improved field-scale SOC prediction accuracy over using the full national library alone.</t>
  </si>
  <si>
    <t xml:space="preserve">DK-VNIR</t>
  </si>
  <si>
    <t xml:space="preserve">Meerdink S.K.; Hook S.J.; Roberts D.A.; Abbott E.A.</t>
  </si>
  <si>
    <t xml:space="preserve">The ECOSTRESS spectral library version 1.0</t>
  </si>
  <si>
    <t xml:space="preserve">10.1016/j.rse.2019.05.015</t>
  </si>
  <si>
    <t xml:space="preserve">ECOSTRESS spectral library</t>
  </si>
  <si>
    <t xml:space="preserve">3000</t>
  </si>
  <si>
    <t xml:space="preserve">Silicate, Sulfate, Carbonate, Sedimentary, Igneous soils</t>
  </si>
  <si>
    <t xml:space="preserve">Forests and Grassland</t>
  </si>
  <si>
    <t xml:space="preserve">Not applicable (reference laboratory spectra of materials, not field soil sampling)</t>
  </si>
  <si>
    <t xml:space="preserve">Compiled comprehensive reference library (&gt;3000 spectra) of soils, minerals, rocks, vegetation, NPV, man-made materials, meteorites, water/snow/ice; expanded from ASTER 2.0</t>
  </si>
  <si>
    <t xml:space="preserve">VIS/SWIR and TIR (thermal infrared)</t>
  </si>
  <si>
    <t xml:space="preserve">350-15400 (0.35-15.4 micron)</t>
  </si>
  <si>
    <t xml:space="preserve">Separate instruments for VSWIR and TIR (different calibration sources)</t>
  </si>
  <si>
    <t xml:space="preserve">High spectral resolution laboratory spectra</t>
  </si>
  <si>
    <t xml:space="preserve">Laboratory-prepared reference material samples</t>
  </si>
  <si>
    <t xml:space="preserve">Material identity/mineralogy (spectral reference, not quantitative soil chemistry)</t>
  </si>
  <si>
    <t xml:space="preserve">Reference laboratory spectroscopy (not wet-chemistry soil analysis)</t>
  </si>
  <si>
    <t xml:space="preserve">Separate VSWIR/TIR calibration sources; caution advised when combining into a seamless spectrum</t>
  </si>
  <si>
    <t xml:space="preserve">Material type, source, mineral/species identity</t>
  </si>
  <si>
    <t xml:space="preserve">Open (publicly available at speclib.jpl.nasa.gov)</t>
  </si>
  <si>
    <t xml:space="preserve">High - publicly available NASA/JPL reference library</t>
  </si>
  <si>
    <t xml:space="preserve">JPL/ASTER-ECOSTRESS spectral library protocol</t>
  </si>
  <si>
    <t xml:space="preserve">Expansion/renaming of the ASTER 2.0 library into ECOSTRESS 1.0</t>
  </si>
  <si>
    <t xml:space="preserve">Reference spectra for remote sensing (ECOSTRESS thermal mission), leaf/pixel-level interpretation, mineral/soil identification</t>
  </si>
  <si>
    <t xml:space="preserve">VSWIR and TIR measured with different instruments/calibration; care needed to combine into seamless spectra</t>
  </si>
  <si>
    <t xml:space="preserve">Use as reference endmembers; extend leaf/NPV/TIR coverage for vegetation and thermal remote sensing</t>
  </si>
  <si>
    <t xml:space="preserve">The ECOSTRESS spectral library v1.0 (&gt;3,000 laboratory reference spectra spanning 0.35-15.4 micron, including soils, minerals, rocks, and vegetation) expanded the ASTER 2.0 library to support the ECOSTRESS thermal mission, serving as an open reference resource for remote sensing rather than a predictive soil-property library.</t>
  </si>
  <si>
    <t xml:space="preserve">General-materials library, not soil-specific</t>
  </si>
  <si>
    <t xml:space="preserve">Romero D.J.; Ben-Dor E.; Demattê J.A.M.; Souza A.B.E.; Vicente L.E.; Tavares T.R.; Martello M.; Strabeli T.F.; da Silva Barros P.P.; Fiorio P.R.; Gallo B.C.; Sato M.V.; Eitelwein M.T.</t>
  </si>
  <si>
    <t xml:space="preserve">Internal soil standard method for the Brazilian soil spectral library: Performance and proximate analysis</t>
  </si>
  <si>
    <t xml:space="preserve">10.1016/j.geoderma.2017.09.014</t>
  </si>
  <si>
    <t xml:space="preserve">30000</t>
  </si>
  <si>
    <t xml:space="preserve">Oxisols</t>
  </si>
  <si>
    <t xml:space="preserve">Multiple (BSSL compilation)</t>
  </si>
  <si>
    <t xml:space="preserve">Samples from the Brazilian Soil Spectral Library (BSSL), used to develop and test an internal soil standard (ISS) method for spectral harmonization</t>
  </si>
  <si>
    <t xml:space="preserve">Multiple spectrometers (heterogeneous BSSL contributors)</t>
  </si>
  <si>
    <t xml:space="preserve">Laboratory (multiple labs/instruments)</t>
  </si>
  <si>
    <t xml:space="preserve">Soil properties predicted from harmonized spectra (SOC, clay, etc.)</t>
  </si>
  <si>
    <t xml:space="preserve">Standard Brazilian reference methods</t>
  </si>
  <si>
    <t xml:space="preserve">Internal Soil Standard (ISS) normalization using a reference soil sample measured on each instrument</t>
  </si>
  <si>
    <t xml:space="preserve">Proximate analysis / prediction models on ISS-corrected spectra</t>
  </si>
  <si>
    <t xml:space="preserve">Performance comparison of ISS-corrected vs uncorrected spectra across instruments</t>
  </si>
  <si>
    <t xml:space="preserve">ISS method improved consistency and prediction performance across instruments/labs</t>
  </si>
  <si>
    <t xml:space="preserve">Use of an internal soil standard measured on each device to detect and correct instrument/lab differences</t>
  </si>
  <si>
    <t xml:space="preserve">Instrument/lab identity, reference standard measurements</t>
  </si>
  <si>
    <t xml:space="preserve">Restricted (BSSL)</t>
  </si>
  <si>
    <t xml:space="preserve">Internal Soil Standard (ISS) method - a key standardization protocol for the BSSL</t>
  </si>
  <si>
    <t xml:space="preserve">Internal Soil Standard (ISS): measuring a common reference soil on every instrument to normalize spectra across heterogeneous sources</t>
  </si>
  <si>
    <t xml:space="preserve">Harmonizing spectra from many instruments/labs to build a consistent national soil spectral library</t>
  </si>
  <si>
    <t xml:space="preserve">Heterogeneous spectra from diverse sources/spectrometers degrade combined-library prediction performance</t>
  </si>
  <si>
    <t xml:space="preserve">Adopt the Internal Soil Standard method across collaborating labs to optimally process heterogeneous spectral data</t>
  </si>
  <si>
    <t xml:space="preserve">This influential BSSL methods paper introduced the Internal Soil Standard (ISS) method - measuring a common reference soil on every instrument to normalize spectra - which improved consistency and prediction performance when combining heterogeneous spectra from many laboratories and spectrometers into the Brazilian Soil Spectral Library.</t>
  </si>
  <si>
    <t xml:space="preserve">Hong Y.; Chen Y.; Chen S.; Shen R.; Hu B.; Peng J.; Wang N.; Guo L.; Zhuo Z.; Yang Y.; Liu Y.; Mouazen A.M.; Shi Z.</t>
  </si>
  <si>
    <t xml:space="preserve">Data mining of urban soil spectral library for estimating organic carbon</t>
  </si>
  <si>
    <t xml:space="preserve">10.1016/j.geoderma.2022.116102</t>
  </si>
  <si>
    <t xml:space="preserve">The Wuhan SSL</t>
  </si>
  <si>
    <t xml:space="preserve">Wuhan, China</t>
  </si>
  <si>
    <t xml:space="preserve">3492</t>
  </si>
  <si>
    <t xml:space="preserve">Fluvisols, Anthrosols, Planosols, Alisols, Acrisols</t>
  </si>
  <si>
    <t xml:space="preserve">Urban</t>
  </si>
  <si>
    <t xml:space="preserve">3492 samples across urban and peri-urban Wuhan, stratified by land use/land cover (LULC)</t>
  </si>
  <si>
    <t xml:space="preserve">ASD-type spectroradiometer</t>
  </si>
  <si>
    <t xml:space="preserve">Standard SOC reference method</t>
  </si>
  <si>
    <t xml:space="preserve">LULC-based environmental stratification</t>
  </si>
  <si>
    <t xml:space="preserve">CNN (deep learning) for global SSL prediction; Cubist model after LULC stratification</t>
  </si>
  <si>
    <t xml:space="preserve">CNN achieved high accuracy on the full urban SSL; Cubist gave optimal SOC prediction after LULC stratification</t>
  </si>
  <si>
    <t xml:space="preserve">Land use/land cover classification, urban/peri-urban zone</t>
  </si>
  <si>
    <t xml:space="preserve">Restricted (Wuhan urban SSL)</t>
  </si>
  <si>
    <t xml:space="preserve">LULC-based stratification of a large urban SSL to improve local model accuracy</t>
  </si>
  <si>
    <t xml:space="preserve">Urban/peri-urban soil organic carbon estimation for city management and anthropogenic-change monitoring</t>
  </si>
  <si>
    <t xml:space="preserve">High heterogeneity of urban soils/land uses complicates direct application of a single global model</t>
  </si>
  <si>
    <t xml:space="preserve">Stratify large urban SSLs by LULC class before local (Cubist-type) model calibration</t>
  </si>
  <si>
    <t xml:space="preserve">In a 3,492-sample Wuhan urban/peri-urban soil spectral library, CNN modelling of the full library achieved high SOC prediction accuracy, but stratifying the library by land use/land cover class before applying a Cubist model gave the best overall SOC predictions, with high-SOC areas concentrated in constructed land.</t>
  </si>
  <si>
    <t xml:space="preserve">CN-WH</t>
  </si>
  <si>
    <t xml:space="preserve">Li S.; Zhou Y.; Mouazen A.M.; Chen S.; Viscarra Rossel R.A.; Biswas A.; Ji W.; Shi Z.; Wang S.</t>
  </si>
  <si>
    <t xml:space="preserve">Integrating soil spectral libraries with laboratory hyperspectral imaging for profile organic carbon prediction in paddy soils</t>
  </si>
  <si>
    <t xml:space="preserve">10.1016/j.still.2025.107028</t>
  </si>
  <si>
    <t xml:space="preserve">ICRAF-ISRIC</t>
  </si>
  <si>
    <t xml:space="preserve">3755</t>
  </si>
  <si>
    <t xml:space="preserve">Paddy soils from yellow-brown earths and red soils</t>
  </si>
  <si>
    <t xml:space="preserve">GL-ICRAF-VNIR</t>
  </si>
  <si>
    <t xml:space="preserve">Demattê J.A.M. et al.</t>
  </si>
  <si>
    <t xml:space="preserve">The Brazilian Soil Spectral Library (BSSL): A general view, application and challenges</t>
  </si>
  <si>
    <t xml:space="preserve">10.1016/j.geoderma.2019.05.043</t>
  </si>
  <si>
    <t xml:space="preserve">39284</t>
  </si>
  <si>
    <t xml:space="preserve">Lixisols, Ferralsols, Arenosols, Gleysols, Cambisols, Nitisols, Plinthosols, Planosols, Luvisols, Histosols, Podzols, Vertisols</t>
  </si>
  <si>
    <t xml:space="preserve">Multiple depths/horizons (national compilation since 1995)</t>
  </si>
  <si>
    <t xml:space="preserve">Compiled from 65 contributors across 41 institutions in all 26 Brazilian states</t>
  </si>
  <si>
    <t xml:space="preserve">ASD FieldSpec 3 spectroradiometer</t>
  </si>
  <si>
    <t xml:space="preserve">Air-dried, sieved, ground (standard BSSL protocol)</t>
  </si>
  <si>
    <t xml:space="preserve">Clay, sand, SOC, CEC, pH, base saturation</t>
  </si>
  <si>
    <t xml:space="preserve">MSC, Continuum Removal, SNV (property-dependent)</t>
  </si>
  <si>
    <t xml:space="preserve">PLSR (also SVM in related BSSL work)</t>
  </si>
  <si>
    <t xml:space="preserve">R2 (e.g. 0.43, 0.41, 0.32, 0.24 across states for some properties)</t>
  </si>
  <si>
    <t xml:space="preserve">Internal Soil Standard (ISS) method for cross-instrument/protocol harmonization</t>
  </si>
  <si>
    <t xml:space="preserve">State, institution, soil taxonomy, spectral protocol</t>
  </si>
  <si>
    <t xml:space="preserve">Open (later releases via Zenodo)</t>
  </si>
  <si>
    <t xml:space="preserve">Partial to high (improved in later open-access releases)</t>
  </si>
  <si>
    <t xml:space="preserve">Internal Soil Standard (ISS) method</t>
  </si>
  <si>
    <t xml:space="preserve">Cross-institution standardization via ISS and joint pedometrics partnership</t>
  </si>
  <si>
    <t xml:space="preserve">National to state/regional-scale digital soil mapping and property estimation</t>
  </si>
  <si>
    <t xml:space="preserve">Harmonizing spectra collected by different instruments/protocols across 41 institutions</t>
  </si>
  <si>
    <t xml:space="preserve">Broader adoption of ISS method; continued expansion and open data release</t>
  </si>
  <si>
    <t xml:space="preserve">The BSSL, built from 39,284 samples across all 26 Brazilian states, enabled estimation of key soil attributes (clay, SOC, CEC, pH) and identified six characteristic spectral signature patterns for Brazilian soils, while highlighting the need for cross-lab standardization.</t>
  </si>
  <si>
    <t xml:space="preserve">Ji W.; Li S.; Chen S.; Shi Z.; Viscarra Rossel R.A.; Mouazen A.M.</t>
  </si>
  <si>
    <t xml:space="preserve">Prediction of soil attributes using the Chinese soil spectral library and standardized spectra recorded at field conditions</t>
  </si>
  <si>
    <t xml:space="preserve">10.1016/j.still.2015.06.004</t>
  </si>
  <si>
    <t xml:space="preserve">Chinese Soil Spectral Library (CSSL)</t>
  </si>
  <si>
    <t xml:space="preserve">3993</t>
  </si>
  <si>
    <t xml:space="preserve">Eutric Cambisols, Anthrosols, Phaezems, Chernozems, Arenosols, Regosols, Humic Alisols, Luvisols, Kastanozems, Haplic Alisols, Solonchak</t>
  </si>
  <si>
    <t xml:space="preserve">Topsoil (paddy fields)</t>
  </si>
  <si>
    <t xml:space="preserve">3993 samples in the Chinese Soil Spectral Library (dry ground); small local subset dried/ground for calibration transfer to field spectra</t>
  </si>
  <si>
    <t xml:space="preserve">vis-NIR spectrometer (lab and field)</t>
  </si>
  <si>
    <t xml:space="preserve">Library: air-dried, ground, sieved; Field: fresh/non-processed (moisture present)</t>
  </si>
  <si>
    <t xml:space="preserve">Both laboratory (library) and field (fresh samples)</t>
  </si>
  <si>
    <t xml:space="preserve">Organic matter (OM), total nitrogen (TN), pH</t>
  </si>
  <si>
    <t xml:space="preserve">Standard reference methods for OM, TN, pH</t>
  </si>
  <si>
    <t xml:space="preserve">Direct Standardization (DS) algorithm to remove soil moisture/environmental effects</t>
  </si>
  <si>
    <t xml:space="preserve">PLSR built from the CSSL, with DS calibration transfer to field spectra</t>
  </si>
  <si>
    <t xml:space="preserve">Field-condition validation using DS-transferred spectra</t>
  </si>
  <si>
    <t xml:space="preserve">CSSL models accurately predicted pH, OM, and TN simultaneously from DS-transferred field spectra in paddy soils</t>
  </si>
  <si>
    <t xml:space="preserve">Paddy field location, soil type</t>
  </si>
  <si>
    <t xml:space="preserve">Direct Standardization (DS) calibration transfer</t>
  </si>
  <si>
    <t xml:space="preserve">DS algorithm to transfer a dry-ground national library to fresh/moist field spectra using a small local dry-ground subset</t>
  </si>
  <si>
    <t xml:space="preserve">In-field prediction of paddy soil fertility (pH, OM, TN) using a national dry-ground spectral library</t>
  </si>
  <si>
    <t xml:space="preserve">Soil moisture and particle-size differences prevent direct use of dry-ground library models on fresh field spectra</t>
  </si>
  <si>
    <t xml:space="preserve">Use Direct Standardization with a small dried/ground local subset to enable national dry-ground libraries to predict from field-condition spectra</t>
  </si>
  <si>
    <t xml:space="preserve">Using Direct Standardization to correct for soil moisture, models built from the dry-ground Chinese Soil Spectral Library (3,993 samples) could simultaneously predict pH, organic matter, and total nitrogen from fresh field-condition paddy-soil spectra, requiring only a small local dried/ground subset for calibration transfer.</t>
  </si>
  <si>
    <t xml:space="preserve">Al-Rawabdeh A.; Alsaleh A.R.; Awawdeh M.</t>
  </si>
  <si>
    <t xml:space="preserve">Spectroscopic Prediction of Soil Iron Oxides, Organic Carbon, and Calcium Using VIS-NIR and PLSR in Northern Jordan</t>
  </si>
  <si>
    <t xml:space="preserve">40</t>
  </si>
  <si>
    <t xml:space="preserve">Red Mediterranean soils, Yellow Mediterranean soils, Yellow soils</t>
  </si>
  <si>
    <t xml:space="preserve">Mediterranean woodlands, forest-steppe, Agricultural/Cropland</t>
  </si>
  <si>
    <t xml:space="preserve">Local calibration study (40 samples), no library</t>
  </si>
  <si>
    <t xml:space="preserve">Li H.; Li Y.; Yang M.; Chen S.; Shi Z.</t>
  </si>
  <si>
    <t xml:space="preserve">Strategies for efficient estimation of soil organic content at the local scale based on a national spectral database</t>
  </si>
  <si>
    <t xml:space="preserve">10.1002/ldr.4223</t>
  </si>
  <si>
    <t xml:space="preserve">CSSL</t>
  </si>
  <si>
    <t xml:space="preserve">4086</t>
  </si>
  <si>
    <t xml:space="preserve">Country field says Germany – likely an error</t>
  </si>
  <si>
    <t xml:space="preserve">Yang M.; Chen S.; Xu D.; Hong Y.; Li S.; Peng J.; Ji W.; Guo X.; Zhao X.; Shi Z.</t>
  </si>
  <si>
    <t xml:space="preserve">Strategies for predicting soil organic matter in the field using the Chinese Vis-NIR soil spectral library</t>
  </si>
  <si>
    <t xml:space="preserve">10.1016/j.geoderma.2023.116461</t>
  </si>
  <si>
    <t xml:space="preserve">Jiangxi Province, China</t>
  </si>
  <si>
    <t xml:space="preserve">Metzger K.; Zhang C.; Ward M.; Daly K.</t>
  </si>
  <si>
    <t xml:space="preserve">Mid-infrared spectroscopy as an alternative to laboratory extraction for the determination of lime requirement in tillage soils</t>
  </si>
  <si>
    <t xml:space="preserve">10.1016/j.geoderma.2020.114171</t>
  </si>
  <si>
    <t xml:space="preserve">41</t>
  </si>
  <si>
    <t xml:space="preserve">Luvisols, Brown Earths, Groundwater Gley, Surface Water Gley, Brown Podzolic, Alluvial Soil</t>
  </si>
  <si>
    <t xml:space="preserve">Agricultural/Tillage and Grasslands</t>
  </si>
  <si>
    <t xml:space="preserve">Topsoil (tillage fields)</t>
  </si>
  <si>
    <t xml:space="preserve">655 samples from 41 cereal tillage fields; split into calibration (31 fields, n=495) and validation (10 fields, n=160)</t>
  </si>
  <si>
    <t xml:space="preserve">Standard MIR range (~2500-15000 nm / 4000-600 cm-1)</t>
  </si>
  <si>
    <t xml:space="preserve">Bench-top FTIR (DRIFTS)</t>
  </si>
  <si>
    <t xml:space="preserve">Lime requirement (LR) via Shoemaker-McLean-Pratt (SMP) buffer method</t>
  </si>
  <si>
    <t xml:space="preserve">SMP buffer method (wet-chemistry lime requirement extraction)</t>
  </si>
  <si>
    <t xml:space="preserve">Preprocessing applied prior to PLSR (not further detailed)</t>
  </si>
  <si>
    <t xml:space="preserve">Loading weights identified organic matter, clay, and carbonates as model drivers</t>
  </si>
  <si>
    <t xml:space="preserve">PLSR (MIR-DRIFTS calibration for SMP-buffer lime requirement)</t>
  </si>
  <si>
    <t xml:space="preserve">Field-based split validation (10 independent validation fields)</t>
  </si>
  <si>
    <t xml:space="preserve">0.2&lt;R2&lt;0.8, 0.7&lt;RMSEP&lt;3.2, 0.5&lt;RPIQ&lt;2.9; field averages close to lab averages but within-field variability not precisely predicted</t>
  </si>
  <si>
    <t xml:space="preserve">Field ID, soil type (Luvisols, Brown Earths, etc.)</t>
  </si>
  <si>
    <t xml:space="preserve">Restricted (Irish tillage dataset)</t>
  </si>
  <si>
    <t xml:space="preserve">MIR-based lime requirement prediction as an alternative to wet-chemistry SMP buffer extraction</t>
  </si>
  <si>
    <t xml:space="preserve">MIR predicts field-average lime requirement well but is not precise enough for within-field variability; conventional SMP method uses soon-to-be-banned carcinogenic reagents</t>
  </si>
  <si>
    <t xml:space="preserve">Use MIR-DRIFTS as a reagent-free alternative to the SMP buffer method for field-average lime recommendations</t>
  </si>
  <si>
    <t xml:space="preserve">MIR-DRIFTS with PLSR predicted lime requirement (SMP buffer) in Irish tillage soils with field-average accuracy close to laboratory values (though within-field variability was imprecise), offering a cost-effective, reagent-free alternative to the carcinogenic SMP wet-chemistry method being phased out under EU legislation.</t>
  </si>
  <si>
    <t xml:space="preserve">Lime-requirement calibration (41 samples), no library</t>
  </si>
  <si>
    <t xml:space="preserve">Mendes W.D.S.; Demattê J.A.M.; Rosin N.A.; Terra F.D.S.; Poppiel R.R.; Urbina-Salazar D.F.; Boechat C.L.; Silva E.B.; Curi N.; Silva S.H.G.; José dos Santos U.; Souza Valladares G.</t>
  </si>
  <si>
    <t xml:space="preserve">The Brazilian soil Mid-infrared Spectral Library: The Power of the Fundamental Range</t>
  </si>
  <si>
    <t xml:space="preserve">10.1016/j.geoderma.2022.115776</t>
  </si>
  <si>
    <t xml:space="preserve">4309 (MIR)</t>
  </si>
  <si>
    <t xml:space="preserve">Lixisols, Arenosols, Cambisols, Chernozems, Ferralsols, Fluvisols, Gleysols, Histosols, Leptosols, Luvisols, Nitisols, Planosols, Plinthosols, Podzols, Regosols, Solonetz, Vertisols</t>
  </si>
  <si>
    <t xml:space="preserve">Agriculture and Forest</t>
  </si>
  <si>
    <t xml:space="preserve">BR-BSSL-MIR</t>
  </si>
  <si>
    <t xml:space="preserve">Baumann P.; Helfenstein A.; Gubler A.; Keller A.; Meuli R.G.; Wächter D.; Lee J.; Viscarra Rossel R.; Six J.</t>
  </si>
  <si>
    <t xml:space="preserve">Developing the Swiss mid-infrared soil spectral library for local estimation and monitoring</t>
  </si>
  <si>
    <t xml:space="preserve">10.5194/soil-7-525-2021</t>
  </si>
  <si>
    <t xml:space="preserve">Swiss soil spectral library</t>
  </si>
  <si>
    <t xml:space="preserve">Switzerland</t>
  </si>
  <si>
    <t xml:space="preserve">4374</t>
  </si>
  <si>
    <t xml:space="preserve">Mineral and organic soils, Peatlands</t>
  </si>
  <si>
    <t xml:space="preserve">Agricultural/Arable, Natural/Conservation</t>
  </si>
  <si>
    <t xml:space="preserve">Stratified random sampling with bulking of subsamples (NABO monitoring network + national archive)</t>
  </si>
  <si>
    <t xml:space="preserve">~2500-25000 (4002-399 cm-1)</t>
  </si>
  <si>
    <t xml:space="preserve">FTIR (DRIFTS)</t>
  </si>
  <si>
    <t xml:space="preserve">3 scans averaged per sample</t>
  </si>
  <si>
    <t xml:space="preserve">Air-dried, ground, sieved; KBr background</t>
  </si>
  <si>
    <t xml:space="preserve">Total carbon and 17 soil properties</t>
  </si>
  <si>
    <t xml:space="preserve">Dry combustion (Vario/CNS analyzer) and standard reference methods</t>
  </si>
  <si>
    <t xml:space="preserve">Cubist (rule-based regression trees); RS-LOCAL for site-specific tuning</t>
  </si>
  <si>
    <t xml:space="preserve">10-fold cross-validation grouped by location</t>
  </si>
  <si>
    <t xml:space="preserve">RMSE, RPIQ</t>
  </si>
  <si>
    <t xml:space="preserve">Data harmonization per Desaules et al. 2010 / Gubler et al. 2019</t>
  </si>
  <si>
    <t xml:space="preserve">Site, land use, sampling depth</t>
  </si>
  <si>
    <t xml:space="preserve">Restricted (national monitoring network)</t>
  </si>
  <si>
    <t xml:space="preserve">Swiss Soil Monitoring Network (NABO) protocol</t>
  </si>
  <si>
    <t xml:space="preserve">RS-LOCAL spiking with local tuning samples</t>
  </si>
  <si>
    <t xml:space="preserve">Local soil carbon estimation and long-term national soil monitoring</t>
  </si>
  <si>
    <t xml:space="preserve">Balancing national generality with local prediction accuracy</t>
  </si>
  <si>
    <t xml:space="preserve">Use of small numbers of local tuning samples (5-10) to adapt national models to new sites</t>
  </si>
  <si>
    <t xml:space="preserve">A &gt;4,300-sample Swiss national MIR library combined with RS-LOCAL site-specific tuning (as few as 5-10 samples) achieved local carbon prediction accuracy comparable to fully local calibration with 50 samples.</t>
  </si>
  <si>
    <t xml:space="preserve">CH-MIR</t>
  </si>
  <si>
    <t xml:space="preserve">Helfenstein A.; Baumann P.; Viscarra Rossel R.; Gubler A.; Oechslin S.; Six J.</t>
  </si>
  <si>
    <t xml:space="preserve">Quantifying soil carbon in temperate peatlands using a mid-IR soil spectral library</t>
  </si>
  <si>
    <t xml:space="preserve">10.5194/soil-7-193-2021</t>
  </si>
  <si>
    <t xml:space="preserve">Peatlands</t>
  </si>
  <si>
    <t xml:space="preserve">Agricultural/Peatlands and Nature</t>
  </si>
  <si>
    <t xml:space="preserve">0-20 cm (plus peat-specific depths)</t>
  </si>
  <si>
    <t xml:space="preserve">Uses the Swiss national MIR SSL (Baumann et al. 2021) extended to temperate peatland sites</t>
  </si>
  <si>
    <t xml:space="preserve">~2500-25000 (4000-400 cm-1)</t>
  </si>
  <si>
    <t xml:space="preserve">Soil/peat carbon content</t>
  </si>
  <si>
    <t xml:space="preserve">Dry combustion</t>
  </si>
  <si>
    <t xml:space="preserve">Cubist / memory-based prediction from mineral-dominated SSL</t>
  </si>
  <si>
    <t xml:space="preserve">Cross-validation at new/independent peatland sites</t>
  </si>
  <si>
    <t xml:space="preserve">Conditional prediction error &lt;10 g/kg C (for &lt;100 g/kg C)</t>
  </si>
  <si>
    <t xml:space="preserve">Site, land use, peat status</t>
  </si>
  <si>
    <t xml:space="preserve">Swiss NABO protocol</t>
  </si>
  <si>
    <t xml:space="preserve">Applying mineral-soil-dominated national library to peatland prediction</t>
  </si>
  <si>
    <t xml:space="preserve">Peatland/organic soil carbon quantification using a mainly mineral-soil library</t>
  </si>
  <si>
    <t xml:space="preserve">Extrapolating a mineral-soil-dominated library to carbon-rich peat soils</t>
  </si>
  <si>
    <t xml:space="preserve">Increase representation of organic/peat soils in the calibration library</t>
  </si>
  <si>
    <t xml:space="preserve">A soil spectral library built mostly from mineral soils could still predict carbon in temperate peatlands at new locations with reasonable accuracy, reducing the need for separate peat-specific calibration.</t>
  </si>
  <si>
    <t xml:space="preserve">Miao T.; Ji W.; Li B.; Zhu X.; Yin J.; Yang J.; Huang Y.; Cao Y.; Yao D.; Kong X.</t>
  </si>
  <si>
    <t xml:space="preserve">Advanced Soil Organic Matter Prediction with a Regional Soil NIR Spectral Library Using Long Short-Term Memory–Convolutional Neural Networks: A Case Study</t>
  </si>
  <si>
    <t xml:space="preserve">10.3390/rs16071256</t>
  </si>
  <si>
    <t xml:space="preserve">Hebei soil spectral library (HSSL)</t>
  </si>
  <si>
    <t xml:space="preserve">440</t>
  </si>
  <si>
    <t xml:space="preserve">Dry land, irrigated land, and paddy field soil</t>
  </si>
  <si>
    <t xml:space="preserve">425 samples, every 3 from dry land/irrigated land/paddy field across counties of Hebei Province</t>
  </si>
  <si>
    <t xml:space="preserve">Not specified in available sources (NIR range)</t>
  </si>
  <si>
    <t xml:space="preserve">LSTM-CNN (deep learning), compared against LSTM and local weighted regression (LWR)</t>
  </si>
  <si>
    <t xml:space="preserve">Independent validation set</t>
  </si>
  <si>
    <t xml:space="preserve">LSTM-CNN R2p=0.96, RMSEp=1.66 g/kg; LSTM R2p=0.83; LWR R2p=0.82, RMSEp=3.79 g/kg</t>
  </si>
  <si>
    <t xml:space="preserve">County, land use type</t>
  </si>
  <si>
    <t xml:space="preserve">Restricted (regional HSSL)</t>
  </si>
  <si>
    <t xml:space="preserve">Provincial-scale SOM prediction using deep learning on NIR spectra</t>
  </si>
  <si>
    <t xml:space="preserve">High non-linearity in spectral data and spatial variation of soils complicating robust model development</t>
  </si>
  <si>
    <t xml:space="preserve">Further application of deep learning (LSTM-CNN) architectures to other provincial/regional SSLs</t>
  </si>
  <si>
    <t xml:space="preserve">An LSTM-CNN deep learning model outperformed both LSTM-only and conventional local weighted regression for predicting soil organic matter using the 425-sample Hebei provincial NIR spectral library (R2p=0.96 vs 0.82 for LWR).</t>
  </si>
  <si>
    <t xml:space="preserve">CN-HB</t>
  </si>
  <si>
    <t xml:space="preserve">Aitkenhead M.J.; Black H.I.J.</t>
  </si>
  <si>
    <t xml:space="preserve">Exploring the Impact of Different Input Data Types on Soil Variable Estimation Using the ICRAF-ISRIC Global Soil Spectral Database</t>
  </si>
  <si>
    <t xml:space="preserve">10.1177/0003702817739013</t>
  </si>
  <si>
    <t xml:space="preserve">ICRAF-ISRIC (FAO Harmonised World Soil Database)</t>
  </si>
  <si>
    <t xml:space="preserve">4437</t>
  </si>
  <si>
    <t xml:space="preserve">Topsoil (global compilation)</t>
  </si>
  <si>
    <t xml:space="preserve">4437 (~4440) spectra from soils across 58 countries (Africa, Asia, Europe, North America, South America)</t>
  </si>
  <si>
    <t xml:space="preserve">ASD-type spectroradiometer (multiple contributing sources)</t>
  </si>
  <si>
    <t xml:space="preserve">Air-dried, ground, sieved (per contributing lab protocols)</t>
  </si>
  <si>
    <t xml:space="preserve">Major elements (Ca, Si, Al, Fe), organic carbon, cation exchange capacity, and other soil variables</t>
  </si>
  <si>
    <t xml:space="preserve">Standard reference methods per contributing labs</t>
  </si>
  <si>
    <t xml:space="preserve">Comparison of input data types (site data, spectra, RGB color, and combinations)</t>
  </si>
  <si>
    <t xml:space="preserve">Neural network / regression models comparing 5 input configurations: site only, Vis-NIR only, site+Vis-NIR, RGB only, site+RGB</t>
  </si>
  <si>
    <t xml:space="preserve">Cross-validation across input-data configurations</t>
  </si>
  <si>
    <t xml:space="preserve">Site+Vis-NIR performed best overall; site+RGB gave r2&gt;0.7 for major elements (Ca, Si, Al, Fe), OC, and CEC despite lacking full spectra</t>
  </si>
  <si>
    <t xml:space="preserve">Site data (location/environmental covariates), country</t>
  </si>
  <si>
    <t xml:space="preserve">Restricted (ICRAF-ISRIC global database)</t>
  </si>
  <si>
    <t xml:space="preserve">Comparing the value of full spectroscopy vs simpler/cheaper inputs (site data, RGB photos) for global soil variable estimation</t>
  </si>
  <si>
    <t xml:space="preserve">Full Vis-NIR spectroscopy is not always available/affordable; need to know when simpler proxies suffice</t>
  </si>
  <si>
    <t xml:space="preserve">Use combined site+RGB color data as a low-cost alternative to full spectroscopy where only moderate accuracy is needed</t>
  </si>
  <si>
    <t xml:space="preserve">Using the ~4,440-sample global ICRAF-ISRIC database, combining site data with full Vis-NIR spectra gave the best soil variable estimates, but simple site+RGB color data alone achieved useful accuracy (r2&gt;0.7) for major elements, organic carbon, and CEC, offering a low-cost alternative where full spectroscopy is unavailable.</t>
  </si>
  <si>
    <t xml:space="preserve">Demattê J.A.M.; Paiva A.F.D.S.; Poppiel R.R.; Rosin N.A.; Ruiz L.F.C.; Mello F.A.O.; Minasny B.; Grunwald S.; Ge Y.; Dor E.B.; Gholizadeh A.; Gomez C.; Chabrillat S.; Francos N.; Ayoubi S.; Fiantis D.; Biney J.K.M.; Wang C.; Belal A.; Naimi S.; Hafshejani N.A.; Bellinaso H.; Moura-bueno J.M.; Silvero N.E.Q.</t>
  </si>
  <si>
    <t xml:space="preserve">The Brazilian Soil Spectral Service (BraSpecS): A User-Friendly System for Global Soil Spectra Communication</t>
  </si>
  <si>
    <t xml:space="preserve">10.3390/rs14030740</t>
  </si>
  <si>
    <t xml:space="preserve">Brazilian Soil Spectral Service (BraSpecS)</t>
  </si>
  <si>
    <t xml:space="preserve">49753 (vis-NIR-SWIR) / 4951 (MIR)</t>
  </si>
  <si>
    <t xml:space="preserve">Mészáros J.; Kovács Z.; László P. et al.</t>
  </si>
  <si>
    <t xml:space="preserve">Vis-NIR soil spectral library of the Hungarian Soil Degradation Observation System</t>
  </si>
  <si>
    <t xml:space="preserve">10.1038/s41597-025-04667-9</t>
  </si>
  <si>
    <t xml:space="preserve">HSDO</t>
  </si>
  <si>
    <t xml:space="preserve">Hungary</t>
  </si>
  <si>
    <t xml:space="preserve">5490</t>
  </si>
  <si>
    <t xml:space="preserve">Multiple depths (soil profile depth recorded)</t>
  </si>
  <si>
    <t xml:space="preserve">5490 legacy soil samples from the Hungarian Soil Degradation Observation System (HSDOS), spanning representative agricultural farm types</t>
  </si>
  <si>
    <t xml:space="preserve">ASD/Malvern Panalytical FieldSpec 4 spectroradiometer with contact probe</t>
  </si>
  <si>
    <t xml:space="preserve">Standard FieldSpec 4 configuration; 10 white / 100 dark / 10 sample spectra per measurement</t>
  </si>
  <si>
    <t xml:space="preserve">Dried and sieved legacy samples (soil sample bank), revisited 2022-2023</t>
  </si>
  <si>
    <t xml:space="preserve">Laboratory (contact probe, halogen light, 1h warm-up)</t>
  </si>
  <si>
    <t xml:space="preserve">pH(KCl), SOM, CaCO3, total salt content (TSC), total nitrogen (TN), soluble P (P2O5-AL), soluble K (K2O-AL), plasticity index (PLI), profile depth</t>
  </si>
  <si>
    <t xml:space="preserve">Standard Hungarian reference methods (per HSDOS protocols)</t>
  </si>
  <si>
    <t xml:space="preserve">Dataset paper (provides library for future calibrated predictive models)</t>
  </si>
  <si>
    <t xml:space="preserve">Not applicable (data descriptor)</t>
  </si>
  <si>
    <t xml:space="preserve">Standardized white/dark reference protocol; instrument warm-up stabilization</t>
  </si>
  <si>
    <t xml:space="preserve">Soil profile depth, farm type/agricultural load, soil degradation type</t>
  </si>
  <si>
    <t xml:space="preserve">Open (published on Zenodo)</t>
  </si>
  <si>
    <t xml:space="preserve">High - openly published national library with full metadata, designed to complement continental/national/regional research</t>
  </si>
  <si>
    <t xml:space="preserve">HSDOS soil survey protocol; standardized FieldSpec 4 laboratory configuration</t>
  </si>
  <si>
    <t xml:space="preserve">Integration of legacy HSDOS survey data with new spectral analyses of archived samples</t>
  </si>
  <si>
    <t xml:space="preserve">National-scale soil degradation monitoring and sustainable soil management for Hungarian agricultural soils</t>
  </si>
  <si>
    <t xml:space="preserve">Filling the gap of a Vis-NIR SSL for Hungarian soils; leveraging legacy archived samples</t>
  </si>
  <si>
    <t xml:space="preserve">Use the open library as a basis for calibrated predictive models at multiple spatial scales and as a complement to continental/national research</t>
  </si>
  <si>
    <t xml:space="preserve">The first comprehensive open Vis-NIR soil spectral library for Hungarian agricultural soils (5,490 legacy HSDOS samples, 350-2500 nm) provides paired spectra and nine measured soil parameters (pH, SOM, CaCO3, TN, P, K, etc.), published openly on Zenodo to support national soil degradation monitoring and future predictive modelling.</t>
  </si>
  <si>
    <t xml:space="preserve">HU-HSDOS</t>
  </si>
  <si>
    <t xml:space="preserve">Angelopoulou T.; Chabrillat S.; Pignatti S.; Milewski R.; Karyotis K.; Brell M.; Ruhtz T.; Bochtis D.; Zalidis G.</t>
  </si>
  <si>
    <t xml:space="preserve">Evaluation of Airborne HySpex and Spaceborne PRISMA Hyperspectral Remote Sensing Data for Soil Organic Matter and Carbonates Estimation</t>
  </si>
  <si>
    <t xml:space="preserve">10.3390/rs15041106</t>
  </si>
  <si>
    <t xml:space="preserve">Greece</t>
  </si>
  <si>
    <t xml:space="preserve">55</t>
  </si>
  <si>
    <t xml:space="preserve">Clay-rich soils derived from tertiary/quaternary sediments and Triassic-Jurassic limestones</t>
  </si>
  <si>
    <t xml:space="preserve">Agricultural/Cropland and Mining</t>
  </si>
  <si>
    <t xml:space="preserve">Topsoil (surface, bare cropland)</t>
  </si>
  <si>
    <t xml:space="preserve">Extensive soil sampling over crop areas of Amyntaio, Northern Greece; in-situ reference data paired with imaging spectroscopy</t>
  </si>
  <si>
    <t xml:space="preserve">vis-NIR-SWIR (laboratory, airborne HySpex, spaceborne PRISMA)</t>
  </si>
  <si>
    <t xml:space="preserve">~400-2500 (laboratory and imaging spectroscopy range)</t>
  </si>
  <si>
    <t xml:space="preserve">Laboratory spectrometer; airborne HySpex imaging spectrometer; spaceborne PRISMA hyperspectral satellite</t>
  </si>
  <si>
    <t xml:space="preserve">PRISMA narrow hyperspectral bands (~230 bands); HySpex high spatial/spectral resolution</t>
  </si>
  <si>
    <t xml:space="preserve">Laboratory: air-dried, ground, sieved; imaging: bare-soil surface reflectance</t>
  </si>
  <si>
    <t xml:space="preserve">Laboratory, airborne, and spaceborne (in-situ validated)</t>
  </si>
  <si>
    <t xml:space="preserve">Soil organic matter (SOM), calcium carbonate (CaCO3)</t>
  </si>
  <si>
    <t xml:space="preserve">Standard reference methods for SOM and carbonates</t>
  </si>
  <si>
    <t xml:space="preserve">Six preprocessing methods evaluated to select best-fitting combination</t>
  </si>
  <si>
    <t xml:space="preserve">Preprocessing/algorithm evaluation</t>
  </si>
  <si>
    <t xml:space="preserve">Four machine learning algorithms compared (e.g. Cubist among best)</t>
  </si>
  <si>
    <t xml:space="preserve">In-situ reference validation; sensor-level comparison (lab vs HySpex vs PRISMA)</t>
  </si>
  <si>
    <t xml:space="preserve">PRISMA Cubist for SOC/SOM: R2=0.76, RMSE=2.06, RPD=1.22 (per later benchmarking); laboratory best, imaging sensors lower</t>
  </si>
  <si>
    <t xml:space="preserve">In-situ referenced validation of imaging spectroscopy</t>
  </si>
  <si>
    <t xml:space="preserve">Sensor type, location (Amyntaio), crop area</t>
  </si>
  <si>
    <t xml:space="preserve">Restricted (available on request); PRISMA products (c)ASI</t>
  </si>
  <si>
    <t xml:space="preserve">Cross-comparison of laboratory, airborne, and spaceborne spectroscopy for the same properties</t>
  </si>
  <si>
    <t xml:space="preserve">Large-scale mapping of SOM and calcium carbonates from spaceborne/airborne hyperspectral imagery</t>
  </si>
  <si>
    <t xml:space="preserve">Calcium carbonate estimation understudied; imaging spectroscopy (PRISMA/HySpex) less accurate than laboratory spectroscopy</t>
  </si>
  <si>
    <t xml:space="preserve">Exploit PRISMA narrow hyperspectral bands with optimal preprocessing/ML for operational SOM and carbonate mapping</t>
  </si>
  <si>
    <t xml:space="preserve">Comparing laboratory, airborne HySpex, and spaceborne PRISMA hyperspectral data over Amyntaio cropland in Northern Greece, the study showed laboratory spectroscopy gave the best SOM and calcium carbonate estimates, while PRISMA (with Cubist and optimized preprocessing) offered viable large-scale mapping, advancing the understudied topic of carbonate estimation.</t>
  </si>
  <si>
    <t xml:space="preserve">Single-site hyperspectral comparison (55 samples), no library</t>
  </si>
  <si>
    <t xml:space="preserve">Asrat T.G.; Breure T.; Sakrabani R.; Corstanje R.; Hassall K.L.; Hamma A.; Kebede F.; Haefele S.M.</t>
  </si>
  <si>
    <t xml:space="preserve">A Moroccan soil spectral library use framework for improving soil property prediction: Evaluating a geostatistical approach</t>
  </si>
  <si>
    <t xml:space="preserve">10.1016/j.geoderma.2024.117116</t>
  </si>
  <si>
    <t xml:space="preserve">Moroccan Soil Spectral Library (MSSL)</t>
  </si>
  <si>
    <t xml:space="preserve">Morocco</t>
  </si>
  <si>
    <t xml:space="preserve">599</t>
  </si>
  <si>
    <t xml:space="preserve">Calcic Kastanozems, Calcic Cambisols, Chromic Luvisols, Vertisols, Eutric Gleysols</t>
  </si>
  <si>
    <t xml:space="preserve">Large diverse Moroccan SSL with geostatistical (spatial autocorrelation) calibration sample selection</t>
  </si>
  <si>
    <t xml:space="preserve">vis-NIR (implied; not explicitly confirmed)</t>
  </si>
  <si>
    <t xml:space="preserve">Multiple soil properties (property-specific calibration)</t>
  </si>
  <si>
    <t xml:space="preserve">PCA scores used for spatial autocorrelation analysis</t>
  </si>
  <si>
    <t xml:space="preserve">Geostatistical calibration-sample-selection framework combined with predictive spectral models</t>
  </si>
  <si>
    <t xml:space="preserve">Cross-validation; targeted validation of poorly-predicted samples</t>
  </si>
  <si>
    <t xml:space="preserve">R2/RMSE (property-dependent)</t>
  </si>
  <si>
    <t xml:space="preserve">Spatial coordinates for geostatistical analysis</t>
  </si>
  <si>
    <t xml:space="preserve">Restricted (MSSL)</t>
  </si>
  <si>
    <t xml:space="preserve">Spatial autocorrelation-guided calibration subset selection</t>
  </si>
  <si>
    <t xml:space="preserve">Optimizing calibration sample selection for large/diverse SSL use</t>
  </si>
  <si>
    <t xml:space="preserve">Costs/complexity of local calibration; poor prediction for spatially distinct/outlier samples</t>
  </si>
  <si>
    <t xml:space="preserve">Use spatial autocorrelation of spectral PC scores to strategically select calibration samples rather than random selection</t>
  </si>
  <si>
    <t xml:space="preserve">A geostatistical framework using spatial autocorrelation of spectral PC scores to guide calibration sample selection improved prediction accuracy for otherwise poorly-predicted samples within the large, diverse Moroccan SSL.</t>
  </si>
  <si>
    <t xml:space="preserve">MA-MSSL</t>
  </si>
  <si>
    <t xml:space="preserve">Retta A.N.; Kebede F.; Haile M.; Gebresamuel G.; Zenebe A.; Girmay G.</t>
  </si>
  <si>
    <t xml:space="preserve">Assessing the spatial variability of soil properties in the semiarid areas of Hintalo Wejerat District, Tigray region, Ethiopia</t>
  </si>
  <si>
    <t xml:space="preserve">10.1007/s43621-025-01006-1</t>
  </si>
  <si>
    <t xml:space="preserve">Ethiopia</t>
  </si>
  <si>
    <t xml:space="preserve">60</t>
  </si>
  <si>
    <t xml:space="preserve">Eutric Cambisols, Chromic Vertisols, Chromic Cambisols</t>
  </si>
  <si>
    <t xml:space="preserve">0-15 and 15-30 cm</t>
  </si>
  <si>
    <t xml:space="preserve">60 composite samples from 10 land mapping units (LMUs) delineated by geology, soil type, slope, management</t>
  </si>
  <si>
    <t xml:space="preserve">Not applicable - this study uses conventional wet-chemistry/geostatistics, not spectroscopy</t>
  </si>
  <si>
    <t xml:space="preserve">Not applicable (standard wet-chemistry lab equipment)</t>
  </si>
  <si>
    <t xml:space="preserve">Air-dried, crushed, sieved (2 mm)</t>
  </si>
  <si>
    <t xml:space="preserve">Laboratory (conventional analysis)</t>
  </si>
  <si>
    <t xml:space="preserve">pH, organic matter, total nitrogen, available phosphorus, exchangeable K, available Fe/Zn</t>
  </si>
  <si>
    <t xml:space="preserve">Standard soil chemical analysis methods</t>
  </si>
  <si>
    <t xml:space="preserve">Inverse Distance Weighting (IDW) interpolation; nutrient indexing</t>
  </si>
  <si>
    <t xml:space="preserve">Geostatistical interpolation (IDW), descriptive/nutrient index analysis</t>
  </si>
  <si>
    <t xml:space="preserve">Nutrient index values reported per property</t>
  </si>
  <si>
    <t xml:space="preserve">Land mapping unit, geology, slope, management</t>
  </si>
  <si>
    <t xml:space="preserve">Soil fertility status mapping and nutrient indexing for site-specific management</t>
  </si>
  <si>
    <t xml:space="preserve">High cost and environmental impact of conventional wet chemistry for soil variability assessment</t>
  </si>
  <si>
    <t xml:space="preserve">Authors explicitly recommend future studies adopt soil spectroscopy and geostatistical models to reduce cost/pollution of wet chemistry</t>
  </si>
  <si>
    <t xml:space="preserve">This is a conventional (non-spectroscopic) soil geostatistical study finding low soil fertility (low OM, N, P) across a semiarid Tigray watershed; notably, the authors recommend that future work use soil spectroscopy combined with geostatistics as a lower-cost, less polluting alternative to wet chemistry.</t>
  </si>
  <si>
    <t xml:space="preserve">Not spectroscopy (wet chemistry + geostatistics)</t>
  </si>
  <si>
    <t xml:space="preserve">Yang H.; Li J.</t>
  </si>
  <si>
    <t xml:space="preserve">Predictions of soil organic carbon using laboratory-based hyperspectral data in the northern Tianshan mountains, China</t>
  </si>
  <si>
    <t xml:space="preserve">10.1007/s10661-012-2838-z</t>
  </si>
  <si>
    <t xml:space="preserve">Pasture soils</t>
  </si>
  <si>
    <t xml:space="preserve">Agricultural/Pasture</t>
  </si>
  <si>
    <t xml:space="preserve">Local calibration study (60 samples), no library</t>
  </si>
  <si>
    <t xml:space="preserve">Shrestha G.; Calvelo-Pereira R.; Roudier P.; Kereszturi G.; Jeyakumar P.; Martin A.P.; Turnbull R.E.; Anderson C.W.N.</t>
  </si>
  <si>
    <t xml:space="preserve">Rapid analysis of farm-scale soil cadmium concentrations using a regional soil spectral library</t>
  </si>
  <si>
    <t xml:space="preserve">10.1016/j.geodrs.2026.e01063</t>
  </si>
  <si>
    <t xml:space="preserve">RSSL</t>
  </si>
  <si>
    <t xml:space="preserve">Otago and Southland, New Zealand</t>
  </si>
  <si>
    <t xml:space="preserve">625</t>
  </si>
  <si>
    <t xml:space="preserve">Allophanic and Pumice soil orders</t>
  </si>
  <si>
    <t xml:space="preserve">NZ-OTAGO</t>
  </si>
  <si>
    <t xml:space="preserve">Omondiagbe O.P.; Roudier P.; Lilburne L.; Ma Y.; McNeill S.</t>
  </si>
  <si>
    <t xml:space="preserve">Quantifying uncertainty in the prediction of soil properties using mid-infrared spectra</t>
  </si>
  <si>
    <t xml:space="preserve">10.1016/j.geoderma.2024.116954</t>
  </si>
  <si>
    <t xml:space="preserve">6468</t>
  </si>
  <si>
    <t xml:space="preserve">Allophanic and Recent soils (Andisols, Entisols, Inceptisols)</t>
  </si>
  <si>
    <t xml:space="preserve">Beckstrom T.B.; Bunnell A.; Maaz T.M.; Kantar M.B.; Deenik J.L.; Tallamy Glazer C.; Sadowski P.; Crow S.E.</t>
  </si>
  <si>
    <t xml:space="preserve">Mid-infrared spectroscopy and machine learning improve accessibility of Hawaiʻi soil health assessment</t>
  </si>
  <si>
    <t xml:space="preserve">10.1002/saj2.70081</t>
  </si>
  <si>
    <t xml:space="preserve">Hawaiʻi soil health assessment spectral library</t>
  </si>
  <si>
    <t xml:space="preserve">Hawaiʻi, USA</t>
  </si>
  <si>
    <t xml:space="preserve">655</t>
  </si>
  <si>
    <t xml:space="preserve">Mollisols, Vertisols, Entisols, Ultisols, Oxisols, Andisols, Aridisols, Histosols, Inceptisols</t>
  </si>
  <si>
    <t xml:space="preserve">Forests, Agroforests, Agricultural/Cropland/Pastures</t>
  </si>
  <si>
    <t xml:space="preserve">US-HI</t>
  </si>
  <si>
    <t xml:space="preserve">Ben Dor E.; Efrati B.; Amir O.; Francos N.; Shepherd J.; Khosravi V.; Gholizadeh A.; Klement A.; Borůvka L.</t>
  </si>
  <si>
    <t xml:space="preserve">A standard and protocol for in-situ measurement of surface soil reflectance</t>
  </si>
  <si>
    <t xml:space="preserve">10.1016/j.geoderma.2024.116920</t>
  </si>
  <si>
    <t xml:space="preserve">Israel, Australia, Czech Republic</t>
  </si>
  <si>
    <t xml:space="preserve">Europe, Oceania, Asia</t>
  </si>
  <si>
    <t xml:space="preserve">7</t>
  </si>
  <si>
    <t xml:space="preserve">Psamments, Quartzipsamments, Torrifluvent, Haplargid, Rhodoxeralf, Xerorthents (plus quartz sand standard)</t>
  </si>
  <si>
    <t xml:space="preserve">Diverse/Arid</t>
  </si>
  <si>
    <t xml:space="preserve">Surface (in-situ)</t>
  </si>
  <si>
    <t xml:space="preserve">Small reference sample set including a quartz sand standard across Israel, Australia, Czech Republic</t>
  </si>
  <si>
    <t xml:space="preserve">Field/portable spectroradiometer</t>
  </si>
  <si>
    <t xml:space="preserve">Undisturbed in-situ surface (no lab prep)</t>
  </si>
  <si>
    <t xml:space="preserve">Field, in-situ, standardized geometry/illumination protocol</t>
  </si>
  <si>
    <t xml:space="preserve">Surface reflectance quality/consistency (not a specific chemical property)</t>
  </si>
  <si>
    <t xml:space="preserve">Not applicable (in-situ measurement standard)</t>
  </si>
  <si>
    <t xml:space="preserve">Not applicable (protocol/standard paper, not a prediction model)</t>
  </si>
  <si>
    <t xml:space="preserve">Comparison to laboratory-grade precision benchmark</t>
  </si>
  <si>
    <t xml:space="preserve">Achieved laboratory-grade precision in the field while minimizing systematic discrepancies</t>
  </si>
  <si>
    <t xml:space="preserve">Internal Soil Standard (ISS)/Lucky Bay reference; standardized field geometry</t>
  </si>
  <si>
    <t xml:space="preserve">Site, instrument, geometry settings</t>
  </si>
  <si>
    <t xml:space="preserve">Supports future IEEE P4005 standard</t>
  </si>
  <si>
    <t xml:space="preserve">New in-situ standard and protocol (builds on Ben Dor et al. 2015 lab protocol); feeds IEEE P4005 working group</t>
  </si>
  <si>
    <t xml:space="preserve">Standard protocol intended to align field measurements with laboratory-grade reflectance</t>
  </si>
  <si>
    <t xml:space="preserve">Standardizing in-situ/field surface soil reflectance measurement across instruments and sites</t>
  </si>
  <si>
    <t xml:space="preserve">Field conditions (illumination, geometry, surface roughness) introduce systematic discrepancies vs lab measurement</t>
  </si>
  <si>
    <t xml:space="preserve">Adoption of the protocol ahead of a formal ISO/IEEE P4005 standard for field spectral measurement</t>
  </si>
  <si>
    <t xml:space="preserve">Proposes and tests a new standard/protocol for in-situ surface soil reflectance measurement across three countries and soil types, achieving laboratory-grade precision under field conditions and informing the forthcoming IEEE P4005 standard.</t>
  </si>
  <si>
    <t xml:space="preserve">Standard/protocol paper (7 samples), no library</t>
  </si>
  <si>
    <t xml:space="preserve">Safanelli J.L.; Sanderman J.; Bloom D.; Todd-Brown K.; Parente L.L.; Hengl T.; et al.</t>
  </si>
  <si>
    <t xml:space="preserve">An interlaboratory comparison of mid-infrared spectra acquisition: Instruments and procedures matter</t>
  </si>
  <si>
    <t xml:space="preserve">10.1016/j.geoderma.2023.116724</t>
  </si>
  <si>
    <t xml:space="preserve">USDA NSSC-KSSL MIR library</t>
  </si>
  <si>
    <t xml:space="preserve">70</t>
  </si>
  <si>
    <t xml:space="preserve">Ring-trial experiment: 70 identical samples circulated across many international MIR labs/instruments</t>
  </si>
  <si>
    <t xml:space="preserve">Multiple different MIR (FTIR) instruments across ~40+ participating labs worldwide</t>
  </si>
  <si>
    <t xml:space="preserve">Varies by participating instrument</t>
  </si>
  <si>
    <t xml:space="preserve">Standardized common samples sent to each lab</t>
  </si>
  <si>
    <t xml:space="preserve">Laboratory (multiple labs, ring trial)</t>
  </si>
  <si>
    <t xml:space="preserve">Multiple soil properties used to test shared/internal model performance</t>
  </si>
  <si>
    <t xml:space="preserve">Regular preprocessing (SNV, derivatives) and spectral standardization treatments compared</t>
  </si>
  <si>
    <t xml:space="preserve">Multiple modelling algorithms tested against internal vs shared (cross-instrument) calibration</t>
  </si>
  <si>
    <t xml:space="preserve">Ring-trial internal and shared/cross-instrument validation</t>
  </si>
  <si>
    <t xml:space="preserve">Instrument dissimilarity metrics; internal vs shared model R2/RMSE comparison</t>
  </si>
  <si>
    <t xml:space="preserve">Systematic ring-trial design to quantify lab-to-lab and instrument-to-instrument variability</t>
  </si>
  <si>
    <t xml:space="preserve">Instrument type, lab/operator, standard operating procedure used</t>
  </si>
  <si>
    <t xml:space="preserve">Feeds into OSSL and related open data infrastructure</t>
  </si>
  <si>
    <t xml:space="preserve">High - supports development of harmonization/standardization protocols across the global MIR community</t>
  </si>
  <si>
    <t xml:space="preserve">Comparative testing of preprocessing and spectral standardization methods for cross-instrument compatibility</t>
  </si>
  <si>
    <t xml:space="preserve">Ring-trial-based quantification of instrument dissimilarity to inform standardization/transfer approaches</t>
  </si>
  <si>
    <t xml:space="preserve">Assessing and improving interoperability of MIR soil spectral libraries across labs/instruments</t>
  </si>
  <si>
    <t xml:space="preserve">Distinct instrument characteristics and operating procedures hamper integration and interoperability of MIR SSLs worldwide</t>
  </si>
  <si>
    <t xml:space="preserve">Adopt standardized operating procedures and spectral standardization methods to enable reliable cross-lab, cross-instrument model sharing</t>
  </si>
  <si>
    <t xml:space="preserve">A large international ring trial found that MIR instruments give good predictions when calibrated with their own standard operating procedures, but instrument and procedural differences substantially hamper direct sharing of models and spectra across labs, underscoring the need for standardization.</t>
  </si>
  <si>
    <t xml:space="preserve">Chabrillat S.; Gholizadeh A.; Neumann C.; Berger D.; Milewski R.; Ogen Y.; Ben-Dor E.</t>
  </si>
  <si>
    <t xml:space="preserve">Preparing a soil spectral library using the Internal Soil Standard (ISS) method: Influence of extreme different humidity laboratory conditions</t>
  </si>
  <si>
    <t xml:space="preserve">10.1016/j.geoderma.2019.07.013</t>
  </si>
  <si>
    <t xml:space="preserve">71</t>
  </si>
  <si>
    <t xml:space="preserve">Hamra, Loessial soils, Rendzina, Terra Rosa, Sand Dunes</t>
  </si>
  <si>
    <t xml:space="preserve">Agricultural and Nature</t>
  </si>
  <si>
    <t xml:space="preserve">Method study (71 samples), no identifiable library</t>
  </si>
  <si>
    <t xml:space="preserve">Gamagedara Y.; Wijewardane N.K.; Feng G.; Seybold C.; Williams M.; Tagert M.L.; Martins V.S.</t>
  </si>
  <si>
    <t xml:space="preserve">Can we use a mid-infrared fine-ground soil spectral library to predict non-fine-ground spectra?</t>
  </si>
  <si>
    <t xml:space="preserve">10.1016/j.geoderma.2024.116799</t>
  </si>
  <si>
    <t xml:space="preserve">72224</t>
  </si>
  <si>
    <t xml:space="preserve">Conterminous USA mineral and organic soil</t>
  </si>
  <si>
    <t xml:space="preserve">Diverse/International</t>
  </si>
  <si>
    <t xml:space="preserve">Multiple horizons (O, A, B, C, E)</t>
  </si>
  <si>
    <t xml:space="preserve">Stratified subset (~519 samples, 3% per stratum) from KSSL by major horizon and taxonomic order (Andisols, Entisols, Mollisols, Alfisols, Inceptisols, Ultisols, Aridisols, Spodosols, Vertisols, Histosols, Gelisols), rescanned without fine-grinding</t>
  </si>
  <si>
    <t xml:space="preserve">Bench-top FTIR (NSSC-KSSL, Lincoln, Nebraska)</t>
  </si>
  <si>
    <t xml:space="preserve">Air-dried (30-35 C), 2 mm sieved (non-fine-ground) vs &lt;180 micron fine-ground (Fritsch grinder) comparison</t>
  </si>
  <si>
    <t xml:space="preserve">Total carbon (TC), organic carbon (OC), total nitrogen (TN), CEC, pH, clay, sand, silt</t>
  </si>
  <si>
    <t xml:space="preserve">Standard KSSL reference methods</t>
  </si>
  <si>
    <t xml:space="preserve">Calibration transfer techniques: Direct Standardization (DS), Slope/Bias (SB), External Parameter Orthogonalization (EPO), spiking</t>
  </si>
  <si>
    <t xml:space="preserve">PLSR with calibration transfer (spiking with extra weight found to outperform other techniques)</t>
  </si>
  <si>
    <t xml:space="preserve">Independent validation using held-out study dataset</t>
  </si>
  <si>
    <t xml:space="preserve">R2/RMSE (property-dependent); spiking-with-extra-weight gave best correction of fine-ground-to-non-fine-ground prediction</t>
  </si>
  <si>
    <t xml:space="preserve">Horizon, taxonomic order, grinding treatment</t>
  </si>
  <si>
    <t xml:space="preserve">Restricted (subset of USDA NSSC-KSSL archive)</t>
  </si>
  <si>
    <t xml:space="preserve">Calibration transfer protocol comparison (DS, SB, EPO, spiking)</t>
  </si>
  <si>
    <t xml:space="preserve">Spiking fine-ground library models with non-fine-ground samples (extra weighting) to correct for grinding-induced spectral differences</t>
  </si>
  <si>
    <t xml:space="preserve">Enabling use of an existing large fine-ground MIR library to predict properties from less-processed (non-fine-ground) samples, reducing cost/time</t>
  </si>
  <si>
    <t xml:space="preserve">Fine-grinding is expensive/time-consuming, but omitting it alters spectral features and degrades prediction accuracy without correction</t>
  </si>
  <si>
    <t xml:space="preserve">Use spiking-based calibration transfer (with extra sample weighting) to adapt fine-ground libraries for coarser-processed samples</t>
  </si>
  <si>
    <t xml:space="preserve">Testing several calibration-transfer methods on a stratified 519-sample subset of the 72,000+ sample KSSL MIR library, the study found that spiking the fine-ground calibration with extra-weighted non-fine-ground samples best corrected predictions, offering a way to leverage existing fine-ground libraries without requiring fine-grinding of new samples.</t>
  </si>
  <si>
    <t xml:space="preserve">Wang Z.; Chen S.; Lu R.; Zhang X.; Ma Y.; Shi Z.</t>
  </si>
  <si>
    <t xml:space="preserve">Non-linear memory-based learning for predicting soil properties using a regional vis-NIR spectral library</t>
  </si>
  <si>
    <t xml:space="preserve">10.1016/j.geoderma.2023.116752</t>
  </si>
  <si>
    <t xml:space="preserve">Lateritic Red soil spectral library (LRSSL)</t>
  </si>
  <si>
    <t xml:space="preserve">742</t>
  </si>
  <si>
    <t xml:space="preserve">Lateritic Red soils</t>
  </si>
  <si>
    <t xml:space="preserve">Forest, Agricultural, Urban/Technogenic</t>
  </si>
  <si>
    <t xml:space="preserve">CN-LR</t>
  </si>
  <si>
    <t xml:space="preserve">Shepherd K.D.; Ferguson R.; Hoover D.; van Egmond F.; Sanderman J.; Ge Y.</t>
  </si>
  <si>
    <t xml:space="preserve">A global soil spectral calibration library and estimation service</t>
  </si>
  <si>
    <t xml:space="preserve">10.1016/j.soisec.2022.100061</t>
  </si>
  <si>
    <t xml:space="preserve">83876</t>
  </si>
  <si>
    <t xml:space="preserve">Alfisols, Andisols, Aridisols, Entisols, Gelisols, Histosols, Inceptisols, Mollisols, Oxisols, Spodosols, Ultisols, Vertisols</t>
  </si>
  <si>
    <t xml:space="preserve">Topsoil (variable, archived profile samples)</t>
  </si>
  <si>
    <t xml:space="preserve">Compiled from existing KSSL soil archive; diverse, spatially extensive US samples</t>
  </si>
  <si>
    <t xml:space="preserve">~2500-25000 (4000-600 cm-1)</t>
  </si>
  <si>
    <t xml:space="preserve">KSSL bench-top FTIR spectrometer (gold-standard central lab)</t>
  </si>
  <si>
    <t xml:space="preserve">Standard KSSL SOP resolution (not specified in detail)</t>
  </si>
  <si>
    <t xml:space="preserve">Air-dried, ground, sieved &lt;2mm (KSSL SOP)</t>
  </si>
  <si>
    <t xml:space="preserve">Laboratory, central reference lab, controlled</t>
  </si>
  <si>
    <t xml:space="preserve">Wide range of soil properties per KSSL characterization methods</t>
  </si>
  <si>
    <t xml:space="preserve">USDA-NRCS KSSL standard methods</t>
  </si>
  <si>
    <t xml:space="preserve">Not detailed in source</t>
  </si>
  <si>
    <t xml:space="preserve">Memory-based learning (MBL) calibration on KSSL MIR library</t>
  </si>
  <si>
    <t xml:space="preserve">20% hold-out validation set</t>
  </si>
  <si>
    <t xml:space="preserve">R2 reported for hold-out validation (varies by property)</t>
  </si>
  <si>
    <t xml:space="preserve">Central gold-standard lab reduces inter-lab variability; outlier addition improves calibration</t>
  </si>
  <si>
    <t xml:space="preserve">Sample provenance, soil taxonomy, location</t>
  </si>
  <si>
    <t xml:space="preserve">Open/service-based (estimation service, spectra uploadable)</t>
  </si>
  <si>
    <t xml:space="preserve">Partial - supported by GLOSOLAN standards</t>
  </si>
  <si>
    <t xml:space="preserve">GLOSOLAN Standard Operating Procedures (SOPs)</t>
  </si>
  <si>
    <t xml:space="preserve">Central lab standard + continuous outlier-based recalibration</t>
  </si>
  <si>
    <t xml:space="preserve">Global soil property estimation service; soil security monitoring</t>
  </si>
  <si>
    <t xml:space="preserve">Variation in analytical methods/procedures across labs; poor inter-lab reproducibility; lack of physical soil archives</t>
  </si>
  <si>
    <t xml:space="preserve">Expand global sample diversity; strengthen GLOSOLAN network dissemination and capacity building</t>
  </si>
  <si>
    <t xml:space="preserve">Proposes a centralized, freely available global MIR calibration library/estimation service built on the KSSL archive, aiming to overcome cost/complexity barriers to soil spectroscopy adoption, especially in developing countries.</t>
  </si>
  <si>
    <t xml:space="preserve">Lamine S.; Petropoulos G.P.; Brewer P.A.; Bachari N.-E.-I.; Srivastava P.K.; Manevski K.; Kalaitzidis C.; Macklin M.G.</t>
  </si>
  <si>
    <t xml:space="preserve">Heavy metal soil contamination detection using combined geochemistry and field spectroradiometry in the United Kingdom</t>
  </si>
  <si>
    <t xml:space="preserve">10.3390/s19040762</t>
  </si>
  <si>
    <t xml:space="preserve">Bow Street HMSC libraries</t>
  </si>
  <si>
    <t xml:space="preserve">UK</t>
  </si>
  <si>
    <t xml:space="preserve">85</t>
  </si>
  <si>
    <t xml:space="preserve">Heavy metal contaminated soils</t>
  </si>
  <si>
    <t xml:space="preserve">Surface (floodplain contaminated soils)</t>
  </si>
  <si>
    <t xml:space="preserve">85 soil samples from a highly contaminated floodplain site in Wales, United Kingdom; field- and lab-based spectral libraries built</t>
  </si>
  <si>
    <t xml:space="preserve">ASD FieldSpec 3 spectroradiometer (field and laboratory)</t>
  </si>
  <si>
    <t xml:space="preserve">Field: in-situ; Laboratory: dried/prepared samples</t>
  </si>
  <si>
    <t xml:space="preserve">Both field and laboratory (two separate spectral libraries)</t>
  </si>
  <si>
    <t xml:space="preserve">Heavy metals: lead (Pb), zinc (Zn), copper (Cu), cadmium (Cd)</t>
  </si>
  <si>
    <t xml:space="preserve">Atomic absorption spectrometry (AAS) for Pb, Zn, Cu, Cd</t>
  </si>
  <si>
    <t xml:space="preserve">Identification of specific spectral regions associated with HMSC modelling</t>
  </si>
  <si>
    <t xml:space="preserve">Selection of specific spectral regions correlated with heavy metal concentrations</t>
  </si>
  <si>
    <t xml:space="preserve">Stepwise multiple linear regression (8 heavy metal prediction models, HMPMs)</t>
  </si>
  <si>
    <t xml:space="preserve">Model development and validation for the four contaminants</t>
  </si>
  <si>
    <t xml:space="preserve">Reasonable accuracy for retrieving heavy metal concentrations from reflectance; specific spectral features discriminated contamination levels</t>
  </si>
  <si>
    <t xml:space="preserve">Paired field vs laboratory spectral libraries for cross-checking</t>
  </si>
  <si>
    <t xml:space="preserve">Field location (Welsh floodplain), sample geochemistry</t>
  </si>
  <si>
    <t xml:space="preserve">Restricted (UK floodplain study dataset)</t>
  </si>
  <si>
    <t xml:space="preserve">Combining field and laboratory spectral libraries with geochemical data</t>
  </si>
  <si>
    <t xml:space="preserve">Mapping and quantifying heavy metal soil contamination over large areas via spaceborne hyperspectral sensors</t>
  </si>
  <si>
    <t xml:space="preserve">Indirect spectral response of heavy metals (via correlation with spectrally active soil constituents); transferring field/lab models to imagery</t>
  </si>
  <si>
    <t xml:space="preserve">Scale field/lab-derived HMPMs to spaceborne hyperspectral sensors for large-area heavy metal mapping</t>
  </si>
  <si>
    <t xml:space="preserve">Combining field- and laboratory-based vis-NIR-SWIR spectral libraries (85 samples, ASD FieldSpec 3) with geochemical data enabled prediction of Pb, Zn, Cu, and Cd contamination in a Welsh floodplain via stepwise multiple linear regression, demonstrating for the first time the feasibility of quantifying heavy metal contamination at such a site and a basis for scaling to spaceborne hyperspectral mapping.</t>
  </si>
  <si>
    <t xml:space="preserve">Single-floodplain contamination study (85 samples), no library</t>
  </si>
  <si>
    <t xml:space="preserve">Long M.; Yue T.; Xu Z.; Guo J.; Luo J.; Guo X.; Zhao X.</t>
  </si>
  <si>
    <t xml:space="preserve">Improved Soil Organic Carbon Prediction in a Forest Area by Near-Infrared Spectroscopy: Spiking of a Soil Spectral Library</t>
  </si>
  <si>
    <t xml:space="preserve">10.3390/f14010118</t>
  </si>
  <si>
    <t xml:space="preserve">ICRAF/Wugong Mountain SSL</t>
  </si>
  <si>
    <t xml:space="preserve">89</t>
  </si>
  <si>
    <t xml:space="preserve">Organic forest soils</t>
  </si>
  <si>
    <t xml:space="preserve">Forest soils (Wugong Mountain vertical zonation)</t>
  </si>
  <si>
    <t xml:space="preserve">Local SSL of 89 samples from Wugong Mountain, Jiangxi Province, China; global SSL of 3122 ICRAF samples (from 4437 across 58 countries) used as spiking basis</t>
  </si>
  <si>
    <t xml:space="preserve">NIR (vis-NIR)</t>
  </si>
  <si>
    <t xml:space="preserve">350-2500 (typical ICRAF/vis-NIR range)</t>
  </si>
  <si>
    <t xml:space="preserve">Walkley-Black method (SOC), per ICRAF-ISRIC protocol</t>
  </si>
  <si>
    <t xml:space="preserve">Selecting top-N global-SSL samples most spectrally similar to each local sample</t>
  </si>
  <si>
    <t xml:space="preserve">PLSR with three spiking strategies (global-SSL spiked with local samples vs local-SSL)</t>
  </si>
  <si>
    <t xml:space="preserve">Cross-validation comparing spiking strategies</t>
  </si>
  <si>
    <t xml:space="preserve">Best local-based: R2=0.90, RMSE=7.19, RPD=3.38; fewer-local-sample strategy: R2=0.83, RMSE=8.71, RPD=2.68</t>
  </si>
  <si>
    <t xml:space="preserve">Elevation/vertical zonation, forest type, location</t>
  </si>
  <si>
    <t xml:space="preserve">Global-SSL open (ICRAF/ISRIC); local-SSL restricted</t>
  </si>
  <si>
    <t xml:space="preserve">Spiking a global spectral library with local samples; similarity-based calibration subset selection</t>
  </si>
  <si>
    <t xml:space="preserve">Improving local SOC prediction in a forest area using a global library plus few local samples</t>
  </si>
  <si>
    <t xml:space="preserve">Global-SSL spiked with local samples did not necessarily outperform purely local models; reducing costly local sampling</t>
  </si>
  <si>
    <t xml:space="preserve">Select top-N most spectrally similar global samples per local sample plus a local spiking set to improve prediction from fewer local calibration samples</t>
  </si>
  <si>
    <t xml:space="preserve">In Wugong Mountain forest (Jiangxi, China), a strategy selecting the most spectrally similar samples from a global ICRAF library (3,122 samples) combined with local spiking improved SOC prediction (R2=0.90, RPD=3.38) and enabled quantitative prediction from fewer local samples, though naive global-library spiking did not always beat purely local models.</t>
  </si>
  <si>
    <t xml:space="preserve">Fonseca A.A.D.; Pasquini C.; Fonseca G.F.; Soares E.M.B.; Hespanhol M.C.</t>
  </si>
  <si>
    <t xml:space="preserve">Building a spectral soil library in a soil routine analysis laboratory to determine soil organic carbon using compact near-infrared spectrophotometers: Performance of global and local models</t>
  </si>
  <si>
    <t xml:space="preserve">10.1016/j.saa.2025.126707</t>
  </si>
  <si>
    <t xml:space="preserve">NeoSpectra-built library</t>
  </si>
  <si>
    <t xml:space="preserve">9000+</t>
  </si>
  <si>
    <t xml:space="preserve">Tropical soil samples</t>
  </si>
  <si>
    <t xml:space="preserve">9000+ samples from a commercial routine soil analysis laboratory; 1000 randomly selected for independent validation (repeated 3x)</t>
  </si>
  <si>
    <t xml:space="preserve">NIR (combination band region)</t>
  </si>
  <si>
    <t xml:space="preserve">NIR range (NeoSpectra ~1350-2550 nm; NanoNIR comparable compact range)</t>
  </si>
  <si>
    <t xml:space="preserve">NeoSpectra and NanoNIR compact/portable NIR spectrophotometers</t>
  </si>
  <si>
    <t xml:space="preserve">Dried and ground (routine commercial lab prep)</t>
  </si>
  <si>
    <t xml:space="preserve">Laboratory (routine commercial soil analysis lab)</t>
  </si>
  <si>
    <t xml:space="preserve">Standard routine SOC reference method</t>
  </si>
  <si>
    <t xml:space="preserve">Mahalanobis distance-based sample selection for local modelling (L-PLSRdist)</t>
  </si>
  <si>
    <t xml:space="preserve">PLSR, Global-PLSR (G-PLSR), Local-PLSR by nearest neighbors (L-PLSRn), Local-PLSR by Mahalanobis distance (L-PLSRdist)</t>
  </si>
  <si>
    <t xml:space="preserve">Independent validation (1000 random samples), repeated 3 times</t>
  </si>
  <si>
    <t xml:space="preserve">NeoSpectra: RMSEP=9.2 g/kg, R2=0.6 (G-PLSR); RMSEP=6.5 g/kg, R2=0.7 (L-PLSRn); NanoNIR slightly lower accuracy</t>
  </si>
  <si>
    <t xml:space="preserve">Instrument type, modelling strategy used</t>
  </si>
  <si>
    <t xml:space="preserve">Restricted (commercial lab-built library)</t>
  </si>
  <si>
    <t xml:space="preserve">Low-cost, rapid, non-destructive SOC determination in routine commercial soil-testing laboratories</t>
  </si>
  <si>
    <t xml:space="preserve">Building an in-house spectral library is resource-intensive but necessary; compact instruments have lower resolution than bench-top FTIR</t>
  </si>
  <si>
    <t xml:space="preserve">Build and maintain an in-house spectral library as the best route to introducing compact NIR instruments in routine SOC determination; use local modelling (L-PLSR) over global models</t>
  </si>
  <si>
    <t xml:space="preserve">Across more than 9,000 samples, compact NeoSpectra NIR spectrophotometers combined with local PLSR modelling (nearest-neighbor selection) gave the best SOC prediction accuracy (RMSEP=6.5 g/kg, R2=0.7) in a commercial routine soil-testing laboratory, outperforming global models and the NanoNIR instrument.</t>
  </si>
  <si>
    <t xml:space="preserve">BR-NEOSPEC</t>
  </si>
  <si>
    <t xml:space="preserve">Shepherd J.E.; Kanner O.; Amir O.; Efrati B.; Ben-Dor E.</t>
  </si>
  <si>
    <t xml:space="preserve">Long-term stability of soil spectral libraries with chemical and spectral insights</t>
  </si>
  <si>
    <t xml:space="preserve">10.1038/s41598-025-93792-x</t>
  </si>
  <si>
    <t xml:space="preserve">91</t>
  </si>
  <si>
    <t xml:space="preserve">Mediterranean climate soils</t>
  </si>
  <si>
    <t xml:space="preserve">Assumed archived TAU library – check</t>
  </si>
  <si>
    <t xml:space="preserve">Erebara A.; Kopali A.; Shallari S.; Iorio E.D.; Manzo A.; Longobardi E.; Napoletano P.; Marco A.D.; Colombo C.</t>
  </si>
  <si>
    <t xml:space="preserve">Pedological features affecting carbon accumulation in submerged-soils sequence assessed with Vis-NIR spectroscopy in a coastal wetland in Albania</t>
  </si>
  <si>
    <t xml:space="preserve">10.1016/j.catena.2025.109187</t>
  </si>
  <si>
    <t xml:space="preserve">Albania</t>
  </si>
  <si>
    <t xml:space="preserve">94</t>
  </si>
  <si>
    <t xml:space="preserve">Tidalic Gleysols, Gleyic Fluvisols, Gleyic Arenosols, Calcic Gleysols</t>
  </si>
  <si>
    <t xml:space="preserve">Wetlands/Lagoon and Forest</t>
  </si>
  <si>
    <t xml:space="preserve">Local wetland study (94 samples), no library</t>
  </si>
  <si>
    <t xml:space="preserve">Kock A.-L.; Ramphisa-Nghondzweni P.D.; Van Zijl G.</t>
  </si>
  <si>
    <t xml:space="preserve">Development of soil spectroscopy models for the Western Highveld region, South Africa: Why do we need local data?</t>
  </si>
  <si>
    <t xml:space="preserve">10.1111/ejss.70014</t>
  </si>
  <si>
    <t xml:space="preserve">Western Highveld region South Africa SSL</t>
  </si>
  <si>
    <t xml:space="preserve">South Africa</t>
  </si>
  <si>
    <t xml:space="preserve">979</t>
  </si>
  <si>
    <t xml:space="preserve">Red and yellow redoximorfic, plintic, black or red clays, shallow soils, rock outcrops, alluvial soils</t>
  </si>
  <si>
    <t xml:space="preserve">979 soil samples from South Africa's Western Highveld region, locally calibrated</t>
  </si>
  <si>
    <t xml:space="preserve">Standard MIR range (not further specified in available sources)</t>
  </si>
  <si>
    <t xml:space="preserve">Bench-top FTIR (MIR)</t>
  </si>
  <si>
    <t xml:space="preserve">pH, phosphorus (P), exchangeable cations</t>
  </si>
  <si>
    <t xml:space="preserve">Standard South African soil fertility reference methods</t>
  </si>
  <si>
    <t xml:space="preserve">Cubist, PLSR, Random Forest (RF); subset also tested against Open Soil Spectral Library (OSSL) global models</t>
  </si>
  <si>
    <t xml:space="preserve">Locally calibrated models outperformed OSSL; OSSL predictions were inaccurate (RPIQ&lt;1) and consistently underpredicted all properties</t>
  </si>
  <si>
    <t xml:space="preserve">Location within Western Highveld, sample coordinates</t>
  </si>
  <si>
    <t xml:space="preserve">Restricted (regional South African SSL)</t>
  </si>
  <si>
    <t xml:space="preserve">Tested transferability of global OSSL models to an underrepresented region (South Africa)</t>
  </si>
  <si>
    <t xml:space="preserve">Local MIR-based prediction of soil fertility properties (pH, P, exchangeable cations) for precision agriculture</t>
  </si>
  <si>
    <t xml:space="preserve">Global spectral libraries (e.g. OSSL) are geographically biased and underrepresent South Africa, causing poor global-model transfer (RPIQ&lt;1, systematic underprediction)</t>
  </si>
  <si>
    <t xml:space="preserve">Prioritize collection of local/regional training data in underrepresented regions rather than relying solely on global spectral libraries</t>
  </si>
  <si>
    <t xml:space="preserve">Locally calibrated MIR models (Cubist, PLSR, RF) for South Africa's Western Highveld substantially outperformed the global Open Soil Spectral Library (OSSL), which underpredicted all tested properties (RPIQ&lt;1), demonstrating that geographic underrepresentation in global libraries limits their applicability in data-sparse regions like South Africa.</t>
  </si>
  <si>
    <t xml:space="preserve">ZA-WHV</t>
  </si>
  <si>
    <t xml:space="preserve">de Santana F.B.; Hall R.L.; Lowe V.; Browne M.A.; Grunsky E.C.; Fitzsimons M.M.; Gallagher V.; Daly K.</t>
  </si>
  <si>
    <t xml:space="preserve">A systematic approach to predicting and mapping soil particle size distribution from unknown samples using large mid-infrared spectral libraries covering large-scale heterogeneous areas</t>
  </si>
  <si>
    <t xml:space="preserve">10.1016/j.geoderma.2023.116491</t>
  </si>
  <si>
    <t xml:space="preserve">Mineral and organo-mineral (MOM) soils</t>
  </si>
  <si>
    <t xml:space="preserve">9993</t>
  </si>
  <si>
    <t xml:space="preserve">Mineral and organo-mineral soils, Peat soils</t>
  </si>
  <si>
    <t xml:space="preserve">Agricultural, Forest, Natural (Alluvial, Marsh, Dunes), Urban/Periurban</t>
  </si>
  <si>
    <t xml:space="preserve">Topsoil (national Tellus survey)</t>
  </si>
  <si>
    <t xml:space="preserve">National-scale MIR library combining mineral and organo-mineral (peat) soils</t>
  </si>
  <si>
    <t xml:space="preserve">MIR (also NIR/XRF used in related work)</t>
  </si>
  <si>
    <t xml:space="preserve">Not specified in available sources (standard MIR range)</t>
  </si>
  <si>
    <t xml:space="preserve">FTIR (bench-top MIR spectrometer)</t>
  </si>
  <si>
    <t xml:space="preserve">Ball-milled (&lt;0.100 mm) vs standard sieved (&lt;2 mm) particle size compared</t>
  </si>
  <si>
    <t xml:space="preserve">Particle size distribution (sand/silt/clay)</t>
  </si>
  <si>
    <t xml:space="preserve">Standard particle size analysis (e.g. sieve/hydrometer/laser diffraction)</t>
  </si>
  <si>
    <t xml:space="preserve">Hotelling T2 and Q-residuals control charts to flag unrepresentative/out-of-control spectra</t>
  </si>
  <si>
    <t xml:space="preserve">Machine learning regression (RF, Cubist, SVM, ANN, PLS) and PLS-DA classification</t>
  </si>
  <si>
    <t xml:space="preserve">Cross-validation; control-chart-based outlier screening</t>
  </si>
  <si>
    <t xml:space="preserve">Instrument stability monitored using acetaminophen chemical standard; Hotelling T2/Q residuals control charts</t>
  </si>
  <si>
    <t xml:space="preserve">Land use, geology, location (Tellus survey)</t>
  </si>
  <si>
    <t xml:space="preserve">Restricted (Irish national Tellus/Teagasc datasets)</t>
  </si>
  <si>
    <t xml:space="preserve">Instrument stability control charts</t>
  </si>
  <si>
    <t xml:space="preserve">Systematic approach identifying unrepresentative samples across heterogeneous geology</t>
  </si>
  <si>
    <t xml:space="preserve">National-scale particle size distribution mapping from MIR spectral libraries</t>
  </si>
  <si>
    <t xml:space="preserve">Geologically heterogeneous landscapes introduce spectral heterogeneity/out-of-control samples not represented in calibration set</t>
  </si>
  <si>
    <t xml:space="preserve">Use of control-chart-based QA/QC to identify unrepresentative samples before large-scale prediction</t>
  </si>
  <si>
    <t xml:space="preserve">A systematic control-chart-based QA/QC approach (Hotelling T2/Q residuals) applied to a large, heterogeneous Irish mineral/organo-mineral MIR library improved reliability of particle-size predictions by screening out unrepresentative spectra.</t>
  </si>
  <si>
    <t xml:space="preserve">IE-MOM</t>
  </si>
  <si>
    <t xml:space="preserve">Dor E.B.; Chabrillat S.; Karyotis K.; Schmid T.</t>
  </si>
  <si>
    <t xml:space="preserve">P4005 Standards and Protocols for Soil Spectroscopy in Laboratory and Field Conditions [Technical Committees]</t>
  </si>
  <si>
    <t xml:space="preserve">10.1109/MGRS.2024.3469069</t>
  </si>
  <si>
    <t xml:space="preserve">Organic and mineral soils</t>
  </si>
  <si>
    <t xml:space="preserve">Standards committee (IEEE P4005), no library</t>
  </si>
  <si>
    <t xml:space="preserve">Ben Dor E.; Ong C.; Lau I.C.</t>
  </si>
  <si>
    <t xml:space="preserve">Reflectance measurements of soils in the laboratory: Standards and protocols</t>
  </si>
  <si>
    <t xml:space="preserve">10.1016/j.geoderma.2015.01.002</t>
  </si>
  <si>
    <t xml:space="preserve">Israel, Australia</t>
  </si>
  <si>
    <t xml:space="preserve">Asia, Oceania</t>
  </si>
  <si>
    <t xml:space="preserve">Western Australian soils</t>
  </si>
  <si>
    <t xml:space="preserve">Standards/protocols paper, no library</t>
  </si>
  <si>
    <t xml:space="preserve">Francos N.; Ogen Y.; Ben-Dor E.</t>
  </si>
  <si>
    <t xml:space="preserve">Spectral assessment of organic matter with different composition using reflectance spectroscopy</t>
  </si>
  <si>
    <t xml:space="preserve">10.3390/rs13081549</t>
  </si>
  <si>
    <t xml:space="preserve">Red soil from Israel (Terra Rosa)</t>
  </si>
  <si>
    <t xml:space="preserve">Organic Matter (e.g. compost)</t>
  </si>
  <si>
    <t xml:space="preserve">Organic-matter spectral study, no library</t>
  </si>
  <si>
    <t xml:space="preserve">Hume R.; Marschner P.; Mason S.; Schilling R.K.; Mosley L.M.</t>
  </si>
  <si>
    <t xml:space="preserve">Using mid-infrared spectroscopy as a tool to monitor responses of acidic soil properties to liming: case study from a dryland agricultural soil trial site in South Australia</t>
  </si>
  <si>
    <t xml:space="preserve">10.1007/s11119-024-10114-3</t>
  </si>
  <si>
    <t xml:space="preserve">South Australia</t>
  </si>
  <si>
    <t xml:space="preserve">Acidic agricultural soils</t>
  </si>
  <si>
    <t xml:space="preserve">Agricultural/Cropland/Pasture</t>
  </si>
  <si>
    <t xml:space="preserve">Single liming-trial site, no library</t>
  </si>
  <si>
    <t xml:space="preserve">Viscarra Rossel R.A.; Behrens T.; Ben-Dor E.; Brown D.J.; Demattê J.A.M.; Shepherd K.D.; Shi Z.; Stenberg B.; Stevens A.; Adamchuk V.; Aïchi H.; Barthès B.G.; Bartholomeus H.M.; Bayer A.D.; Bernoux M.; Böttcher K.; Brodský L.; Du C.W.; Chappell A.; Fouad Y.; Genot V.; Gomez C.; Grunwald S.; Gubler A.; Guerrero C.; Hedley C.B.; Knadel M.; Morrás H.J.M.; Nocita M.; Ramirez-Lopez L.; Roudier P.; Rufasto Campos E.M.; Sanborn P.; Sellitto V.M.; Sudduth K.A.; Rawlins B.G.; Walter C.; Winowiecki L.A.; Hong S.Y.; Ji W.</t>
  </si>
  <si>
    <t xml:space="preserve">A global spectral library to characterize the world's soil</t>
  </si>
  <si>
    <t xml:space="preserve">10.1016/j.earscirev.2016.01.012</t>
  </si>
  <si>
    <t xml:space="preserve">Global Soil vis-NIR Spectral Library (GSSL)</t>
  </si>
  <si>
    <t xml:space="preserve">92 countries</t>
  </si>
  <si>
    <t xml:space="preserve">Global (seven continents)</t>
  </si>
  <si>
    <t xml:space="preserve">23631 spectra</t>
  </si>
  <si>
    <t xml:space="preserve">Globally diverse; wide attribute ranges with large coefficients of variation, more sand than clay/silt overall</t>
  </si>
  <si>
    <t xml:space="preserve">Multiple global land-cover classes</t>
  </si>
  <si>
    <t xml:space="preserve">Voluntary contribution of legacy spectra by ~45 soil scientists from 35 countries and institutions</t>
  </si>
  <si>
    <t xml:space="preserve">vis-NIR range; multiple contributed instruments (exact common range not specified in available sources)</t>
  </si>
  <si>
    <t xml:space="preserve">Multiple instruments across contributing institutions</t>
  </si>
  <si>
    <t xml:space="preserve">Laboratory; protocols varied by contributing institution</t>
  </si>
  <si>
    <t xml:space="preserve">Soil organic carbon; soil inorganic carbon; clay; silt; sand; iron content; cation exchange capacity; pH</t>
  </si>
  <si>
    <t xml:space="preserve">Spectral analysis and prediction of soil attributes from the harmonized global library</t>
  </si>
  <si>
    <t xml:space="preserve">Instrument recalibration ranged from once every 50 measurements to once every 10 (median every 10); readings averaged 10-50 (median 30 at calibration, 10 at measurement); replicates per sample ranged from none to six</t>
  </si>
  <si>
    <t xml:space="preserve">Country, continent, land cover, soil attribute data; number of spectra reported by continent and country</t>
  </si>
  <si>
    <t xml:space="preserve">Open access publication; library assembled from contributed institutional datasets</t>
  </si>
  <si>
    <t xml:space="preserve">Consolidation of heterogeneous contributed vis-NIR datasets into a single global library</t>
  </si>
  <si>
    <t xml:space="preserve">Characterizing global soil composition; linking spectra to land cover and global geographic distribution as a surrogate for climate variability; predicting soil attributes</t>
  </si>
  <si>
    <t xml:space="preserve">Unprecedented pressures on soil from degradation and urbanization threatening agro-ecological balances and food security; heterogeneity of contributed measurement protocols</t>
  </si>
  <si>
    <t xml:space="preserve">The largest and most diverse global vis-NIR soil database of its kind at time of publication. Spectral information described soil composition and was associated with land cover and global geographic distribution, and proved useful for predicting organic and inorganic carbon, texture, iron, CEC and pH.</t>
  </si>
  <si>
    <t xml:space="preserve">GL-GSSL</t>
  </si>
  <si>
    <t xml:space="preserve">Brown D.J.; Shepherd K.D.; Walsh M.G.; Mays M.D.; Reinsch T.G.</t>
  </si>
  <si>
    <t xml:space="preserve">Global soil characterization with VNIR diffuse reflectance spectroscopy</t>
  </si>
  <si>
    <t xml:space="preserve">2006</t>
  </si>
  <si>
    <t xml:space="preserve">10.1016/j.geoderma.2005.04.025</t>
  </si>
  <si>
    <t xml:space="preserve">Global VNIR diffuse reflectance library (NRCS/ICRAF-linked)</t>
  </si>
  <si>
    <t xml:space="preserve">USA (all 50 states) plus 36 further countries (37 total)</t>
  </si>
  <si>
    <t xml:space="preserve">Global (Africa, Asia, the Americas, Europe)</t>
  </si>
  <si>
    <t xml:space="preserve">4184 (3768 USA; 416 from outside the USA)</t>
  </si>
  <si>
    <t xml:space="preserve">Laboratory diffuse reflectance</t>
  </si>
  <si>
    <t xml:space="preserve">Foundational global soil characterization by VNIR diffuse reflectance spectroscopy</t>
  </si>
  <si>
    <t xml:space="preserve">Geographic imbalance of the sample set, with only 416 of 4184 samples originating outside the USA</t>
  </si>
  <si>
    <t xml:space="preserve">Estimated that approximately 5.2 x 10^9 carefully selected calibration samples would be required to span the known global soil compositional space. Widely treated as the origin study for large-scale VNIR soil spectral libraries.</t>
  </si>
  <si>
    <t xml:space="preserve">GL-BROWN</t>
  </si>
  <si>
    <t xml:space="preserve">Terhoeven-Urselmans T.; Vågen T.-G.; Spaargaren O.; Shepherd K.D.</t>
  </si>
  <si>
    <t xml:space="preserve">Prediction of soil fertility properties from a globally distributed soil mid-infrared spectral library</t>
  </si>
  <si>
    <t xml:space="preserve">2010</t>
  </si>
  <si>
    <t xml:space="preserve">10.2136/sssaj2009.0218</t>
  </si>
  <si>
    <t xml:space="preserve">ICRAF-ISRIC global MIR spectral library</t>
  </si>
  <si>
    <t xml:space="preserve">Globally distributed (ISRIC soil collection)</t>
  </si>
  <si>
    <t xml:space="preserve">971</t>
  </si>
  <si>
    <t xml:space="preserve">Samples drawn from the ISRIC world soil reference collection</t>
  </si>
  <si>
    <t xml:space="preserve">4000-602 cm-1 (MIR)</t>
  </si>
  <si>
    <t xml:space="preserve">Soil fertility properties</t>
  </si>
  <si>
    <t xml:space="preserve">Foundational global MIR spectral library; complements the ICRAF-ISRIC vis-NIR holdings</t>
  </si>
  <si>
    <t xml:space="preserve">Demonstrated prediction of soil fertility properties from a globally distributed MIR library of 971 ISRIC samples scanned across 4000-602 cm-1.</t>
  </si>
  <si>
    <t xml:space="preserve">GL-ICRAF-MIR</t>
  </si>
  <si>
    <t xml:space="preserve">Dangal S.R.S.; Sanderman J.; Wills S.; Ramirez-Lopez L.</t>
  </si>
  <si>
    <t xml:space="preserve">Accurate and precise prediction of soil properties from a large mid-infrared spectral library</t>
  </si>
  <si>
    <t xml:space="preserve">10.3390/soilsystems3010011</t>
  </si>
  <si>
    <t xml:space="preserve">USDA-NRCS Kellogg Soil Survey Laboratory (KSSL) MIR library</t>
  </si>
  <si>
    <t xml:space="preserve">USA (continental)</t>
  </si>
  <si>
    <t xml:space="preserve">&gt;50000</t>
  </si>
  <si>
    <t xml:space="preserve">USDA National Soil Survey Center MIR library with its associated soil characterization database</t>
  </si>
  <si>
    <t xml:space="preserve">Continental-scale assessment of diffuse reflectance spectroscopy for soil property prediction</t>
  </si>
  <si>
    <t xml:space="preserve">Assessed diffuse reflectance spectroscopy at continental-US scale using the USDA National Soil Survey Center MIR library (n &gt; 50,000) paired with its soil characterization database.</t>
  </si>
  <si>
    <t xml:space="preserve">Viscarra Rossel R.A.; Webster R.</t>
  </si>
  <si>
    <t xml:space="preserve">Predicting soil properties from the Australian soil visible-near infrared spectroscopic database</t>
  </si>
  <si>
    <t xml:space="preserve">10.1111/j.1365-2389.2012.01495.x</t>
  </si>
  <si>
    <t xml:space="preserve">Australian Soil vis-NIR Spectroscopic Database</t>
  </si>
  <si>
    <t xml:space="preserve">~20000 (archived samples)</t>
  </si>
  <si>
    <t xml:space="preserve">Reflectance spectra from archived Australian soil samples</t>
  </si>
  <si>
    <t xml:space="preserve">Foundational national vis-NIR database underpinning subsequent Australian soil spectroscopy work</t>
  </si>
  <si>
    <t xml:space="preserve">Established the national Australian vis-NIR spectroscopic database from roughly 20,000 archived soil samples and demonstrated prediction of soil properties from it.</t>
  </si>
  <si>
    <t xml:space="preserve">Baldock J.A.; Hawke B.; Sanderman J.; Macdonald L.M.</t>
  </si>
  <si>
    <t xml:space="preserve">Predicting contents of carbon and its component fractions in Australian soils from diffuse reflectance mid-infrared spectra</t>
  </si>
  <si>
    <t xml:space="preserve">10.1071/SR13077</t>
  </si>
  <si>
    <t xml:space="preserve">Soil Carbon Research Program (SCaRP) MIR library</t>
  </si>
  <si>
    <t xml:space="preserve">Australia (agricultural regions; state-level projects in NSW, Qld, Vic, SA, Tas)</t>
  </si>
  <si>
    <t xml:space="preserve">20495 samples from 4526 locations</t>
  </si>
  <si>
    <t xml:space="preserve">Agricultural (cropping, pasture, rangeland)</t>
  </si>
  <si>
    <t xml:space="preserve">To 1 m</t>
  </si>
  <si>
    <t xml:space="preserve">Nationally coordinated sampling across Australia's agricultural regions under the Soil Carbon Research Program</t>
  </si>
  <si>
    <t xml:space="preserve">MIR (mid-infrared); spectra also covered part of the NIR region</t>
  </si>
  <si>
    <t xml:space="preserve">6000-600 cm-1 (resampled at 4 cm-1 in downstream SCaRP analyses)</t>
  </si>
  <si>
    <t xml:space="preserve">Diffuse reflectance mid-infrared spectrometer</t>
  </si>
  <si>
    <t xml:space="preserve">4 cm-1 (as resampled in SCaRP processing)</t>
  </si>
  <si>
    <t xml:space="preserve">Total carbon; organic carbon; inorganic carbon; total nitrogen; particulate (POC), humus (HOC) and resistant (ROC) organic carbon fractions</t>
  </si>
  <si>
    <t xml:space="preserve">Conversion of reflectance to absorbance; truncation and resampling 6000-600 cm-1; baseline offset transformation</t>
  </si>
  <si>
    <t xml:space="preserve">Partial least-squares regression (PLSR), national and state/project-based models</t>
  </si>
  <si>
    <t xml:space="preserve">Test-set validation; random cross-validation where sample numbers were low</t>
  </si>
  <si>
    <t xml:space="preserve">RMSEC/RMSEP, SEC/SEP, RPD</t>
  </si>
  <si>
    <t xml:space="preserve">National carbon accounting; rapid low-cost prediction of soil carbon content and composition</t>
  </si>
  <si>
    <t xml:space="preserve">Laboratory quantification of soil carbon content and composition is time-consuming, requires specialised equipment and is expensive</t>
  </si>
  <si>
    <t xml:space="preserve">Developed national and state-based PLSR models from MIR spectra of 20,495 samples across 4,526 Australian agricultural locations, predicting total, organic and inorganic carbon plus carbon fractions, and tested whether reduced geographic extent improved predictions over the national model.</t>
  </si>
  <si>
    <t xml:space="preserve">AU-SCARP</t>
  </si>
  <si>
    <t xml:space="preserve">Knadel M.; Deng F.; Thomsen A.; Greve M.H.</t>
  </si>
  <si>
    <t xml:space="preserve">Development of a Danish national vis-NIR soil spectral library for soil organic carbon determination</t>
  </si>
  <si>
    <t xml:space="preserve">10.1201/b12728-79</t>
  </si>
  <si>
    <t xml:space="preserve">Danish national vis-NIR soil spectral library</t>
  </si>
  <si>
    <t xml:space="preserve">National library construction, subsequently spiked with additional local samples</t>
  </si>
  <si>
    <t xml:space="preserve">ASD LabSpec 5100</t>
  </si>
  <si>
    <t xml:space="preserve">Dry samples; moist samples also tested</t>
  </si>
  <si>
    <t xml:space="preserve">Laboratory; predictions tested on both dry and moist samples</t>
  </si>
  <si>
    <t xml:space="preserve">Soil organic carbon (0-55.6%, mean 1.12%)</t>
  </si>
  <si>
    <t xml:space="preserve">Spectral library calibration with local spiking</t>
  </si>
  <si>
    <t xml:space="preserve">Validation plus prediction on an independent dataset</t>
  </si>
  <si>
    <t xml:space="preserve">Validation RMSEP 0.31, R2 0.79, RPD 2.3; independent data RMSEP 0.29, R2 0.81, RPD 2.4</t>
  </si>
  <si>
    <t xml:space="preserve">National SOC determination and spatial analysis of soil variability in Denmark</t>
  </si>
  <si>
    <t xml:space="preserve">Predicting SOC on moist samples required prior spiking of the global library with moist samples from the new location</t>
  </si>
  <si>
    <t xml:space="preserve">Established the Danish national vis-NIR library from 2,851 samples. Spiking with local samples improved SOC prediction accuracy, reducing RMSEP by 43%. Moderate predictions were obtained for new dry soils before spiking; moist samples required spiking first.</t>
  </si>
  <si>
    <t xml:space="preserve">Gogé F.; Gomez C.; Jolivet C.; Joffre R.</t>
  </si>
  <si>
    <t xml:space="preserve">Which strategy is best to predict soil properties of a local site from a national Vis-NIR database?</t>
  </si>
  <si>
    <t xml:space="preserve">10.1016/j.geoderma.2013.07.016</t>
  </si>
  <si>
    <t xml:space="preserve">French national vis-NIR database (RMQS soil monitoring network)</t>
  </si>
  <si>
    <t xml:space="preserve">National (applied to local sites)</t>
  </si>
  <si>
    <t xml:space="preserve">Partial least squares (PLS) and a fast Fourier transform local weighted method</t>
  </si>
  <si>
    <t xml:space="preserve">Spiking of the national database with local sample subsets</t>
  </si>
  <si>
    <t xml:space="preserve">Predicting local-site soil properties from a national spectral database</t>
  </si>
  <si>
    <t xml:space="preserve">Compared building calibration models from the French national RMQS-based database alone against spiking it with local subsets, using PLS and an FFT local weighted method.</t>
  </si>
  <si>
    <t xml:space="preserve">FR-RMQS-VNIR</t>
  </si>
  <si>
    <t xml:space="preserve">Gholizadeh A.; et al.</t>
  </si>
  <si>
    <t xml:space="preserve">National-scale spectroscopic assessment of soil organic carbon in forests of the Czech Republic</t>
  </si>
  <si>
    <t xml:space="preserve">10.1016/j.geoderma.2020.114832</t>
  </si>
  <si>
    <t xml:space="preserve">Czech national forest soil spectral dataset</t>
  </si>
  <si>
    <t xml:space="preserve">Soil organic carbon</t>
  </si>
  <si>
    <t xml:space="preserve">National-scale spectroscopic assessment of forest soil organic carbon</t>
  </si>
  <si>
    <t xml:space="preserve">Provides national-scale coverage of Czech forest soils, complementing the smaller regional Czech datasets already in this review.</t>
  </si>
  <si>
    <t xml:space="preserve">CZ-FOREST</t>
  </si>
  <si>
    <t xml:space="preserve">Gomez C.; Chevallier T.; Moulin P.; Bouferra I.; Hmaidi K.; Arrouays D.; Jolivet C.; Barthès B.G.</t>
  </si>
  <si>
    <t xml:space="preserve">Prediction of soil organic and inorganic carbon concentrations in Tunisian samples by mid-infrared reflectance spectroscopy using a French national library</t>
  </si>
  <si>
    <t xml:space="preserve">10.1016/j.geoderma.2020.114469</t>
  </si>
  <si>
    <t xml:space="preserve">French national MIR library (applied to Tunisian samples)</t>
  </si>
  <si>
    <t xml:space="preserve">Cross-national transfer</t>
  </si>
  <si>
    <t xml:space="preserve">Tunisia (predicted using a French national library)</t>
  </si>
  <si>
    <t xml:space="preserve">Africa / Europe</t>
  </si>
  <si>
    <t xml:space="preserve">Soil organic carbon; soil inorganic carbon</t>
  </si>
  <si>
    <t xml:space="preserve">Transfer of a national (French) MIR library to samples from a different country</t>
  </si>
  <si>
    <t xml:space="preserve">Extending an existing national library to a country without its own MIR library</t>
  </si>
  <si>
    <t xml:space="preserve">Demonstrates cross-country transfer of a national MIR spectral library, addressing North African coverage.</t>
  </si>
  <si>
    <t xml:space="preserve">French library applied to Tunisian samples; no Tunisian library</t>
  </si>
  <si>
    <t xml:space="preserve">Goydaragh M.G.; Taghizadeh-Mehrjardi R.; Jafarzadeh A.A.; Triantafilis J.; Lado M.</t>
  </si>
  <si>
    <t xml:space="preserve">GLOBAL-LOCAL: A new approach for local predictions of soil organic carbon content using large soil spectral libraries</t>
  </si>
  <si>
    <t xml:space="preserve">10.1016/j.geoderma.2022.116048</t>
  </si>
  <si>
    <t xml:space="preserve">Method applied to large soil spectral libraries</t>
  </si>
  <si>
    <t xml:space="preserve">Local predictions from large (global/national) libraries</t>
  </si>
  <si>
    <t xml:space="preserve">Iran-affiliated research group; large SSLs</t>
  </si>
  <si>
    <t xml:space="preserve">Asia (multi-library)</t>
  </si>
  <si>
    <t xml:space="preserve">GLOBAL-LOCAL approach for local prediction from large spectral libraries</t>
  </si>
  <si>
    <t xml:space="preserve">Improving local-site SOC prediction accuracy when calibrating from large libraries</t>
  </si>
  <si>
    <t xml:space="preserve">Introduces a global-local strategy for deriving local SOC predictions from large soil spectral libraries.</t>
  </si>
  <si>
    <t xml:space="preserve">Check</t>
  </si>
  <si>
    <t xml:space="preserve">Libraries used are not identified in the sheet – check full text</t>
  </si>
  <si>
    <t xml:space="preserve">Singh S.; Kasana S.S.</t>
  </si>
  <si>
    <t xml:space="preserve">Estimation of soil properties from the EU spectral library using long short-term memory networks</t>
  </si>
  <si>
    <t xml:space="preserve">10.1016/j.geodrs.2019.e00233</t>
  </si>
  <si>
    <t xml:space="preserve">EU spectral library (LUCAS-based)</t>
  </si>
  <si>
    <t xml:space="preserve">European Union</t>
  </si>
  <si>
    <t xml:space="preserve">Long short-term memory (LSTM) neural networks</t>
  </si>
  <si>
    <t xml:space="preserve">Deep-learning estimation of soil properties from a continental spectral library</t>
  </si>
  <si>
    <t xml:space="preserve">Applies LSTM networks to the EU spectral library for soil property estimation.</t>
  </si>
  <si>
    <t xml:space="preserve">Sorenson P.T.; Small C.; Tappert M.C.; Quideau S.A.; Drozdowski B.; Underwood A.; Janz A.</t>
  </si>
  <si>
    <t xml:space="preserve">Monitoring organic carbon, total nitrogen, and pH for reclaimed soils using field reflectance spectroscopy</t>
  </si>
  <si>
    <t xml:space="preserve">10.1139/cjss-2016-0116</t>
  </si>
  <si>
    <t xml:space="preserve">Canadian reclaimed-soil reflectance dataset</t>
  </si>
  <si>
    <t xml:space="preserve">Canada</t>
  </si>
  <si>
    <t xml:space="preserve">Reclaimed soils</t>
  </si>
  <si>
    <t xml:space="preserve">Field reflectance spectroscopy</t>
  </si>
  <si>
    <t xml:space="preserve">Field</t>
  </si>
  <si>
    <t xml:space="preserve">Organic carbon; total nitrogen; pH</t>
  </si>
  <si>
    <t xml:space="preserve">Monitoring reclaimed soils by field reflectance spectroscopy</t>
  </si>
  <si>
    <t xml:space="preserve">One of the few Canadian soil spectroscopy datasets available in the peer-reviewed literature.</t>
  </si>
  <si>
    <t xml:space="preserve">Field reflectance monitoring of reclaimed sites, not a library</t>
  </si>
  <si>
    <t xml:space="preserve">He J.; Matsui T.; Tanaka T.S.T.</t>
  </si>
  <si>
    <t xml:space="preserve">Predictive performance of mid-infrared FTIR spectroscopy and machine learning models for soil property estimation in Japan</t>
  </si>
  <si>
    <t xml:space="preserve">10.1080/00380768.2025.2558584</t>
  </si>
  <si>
    <t xml:space="preserve">Japanese soil FTIR spectral dataset</t>
  </si>
  <si>
    <t xml:space="preserve">Japan (samples from Gifu, Mie, Nara and Yamaguchi prefectures)</t>
  </si>
  <si>
    <t xml:space="preserve">Soil samples obtained from across Japan, contributed by prefectural agricultural research centres (Gifu, Mie, Nara, Yamaguchi) and farmers</t>
  </si>
  <si>
    <t xml:space="preserve">MIR (mid-infrared) FTIR</t>
  </si>
  <si>
    <t xml:space="preserve">Fourier-transform infrared (FTIR) spectrometer</t>
  </si>
  <si>
    <t xml:space="preserve">Ground, mixed and diluted with potassium bromide (10% soil on a dry weight basis, 90% KBr)</t>
  </si>
  <si>
    <t xml:space="preserve">Soil properties including K2O and mineralizable nitrogen (Min N)</t>
  </si>
  <si>
    <t xml:space="preserve">Differential (derivative) spectroscopy to improve spectral resolution and enhance features in samples with overlapping peaks</t>
  </si>
  <si>
    <t xml:space="preserve">Partial Least Squares Regression (PLSR); Random Forest (RF); one-dimensional Convolutional Neural Networks (1D-CNN)</t>
  </si>
  <si>
    <t xml:space="preserve">Interpolation and extrapolation tasks</t>
  </si>
  <si>
    <t xml:space="preserve">R2 (negative R2 reported for 1D-CNN under extrapolation)</t>
  </si>
  <si>
    <t xml:space="preserve">Open Access (CC BY); supplementary materials published with the article</t>
  </si>
  <si>
    <t xml:space="preserve">Precision agriculture and environmental management; rapid nondestructive soil property assessment</t>
  </si>
  <si>
    <t xml:space="preserve">Traditional laboratory soil assessment is time-consuming and costly; spectral data complexity requires advanced analytical techniques; ML models degrade sharply outside the training domain</t>
  </si>
  <si>
    <t xml:space="preserve">Continue exploring approaches balancing prediction accuracy, generalizability and computational efficiency to advance practical implementation of soil spectroscopy in agriculture</t>
  </si>
  <si>
    <t xml:space="preserve">FTIR combined with CNN was effective for measuring mineralizable nitrogen, particularly in interpolation. Although 1D-CNN performed strongly in interpolation, its negative R2 in extrapolation underscored the limits of machine learning applied beyond the training domain and the need for rigorous validation and robust sampling strategies.</t>
  </si>
  <si>
    <t xml:space="preserve">JP-FTIR</t>
  </si>
  <si>
    <t xml:space="preserve">Debaene G.</t>
  </si>
  <si>
    <t xml:space="preserve">Visible and near-infrared spectroscopy in Poland: from the beginning to the Polish Soil Spectral Library</t>
  </si>
  <si>
    <t xml:space="preserve">10.26114/pja.iung.382.2019.37.01</t>
  </si>
  <si>
    <t xml:space="preserve">Polish Soil Spectral Library (PSSL)</t>
  </si>
  <si>
    <t xml:space="preserve">National (with field-scale application)</t>
  </si>
  <si>
    <t xml:space="preserve">Poland (field example: Baborówko)</t>
  </si>
  <si>
    <t xml:space="preserve">Agricultural (mineral soils)</t>
  </si>
  <si>
    <t xml:space="preserve">Soil organic carbon; clay content</t>
  </si>
  <si>
    <t xml:space="preserve">Raw spectra; standard normal variate (SNV); Savitzky-Golay (SG)</t>
  </si>
  <si>
    <t xml:space="preserve">Partial least-squares (PLS) regression</t>
  </si>
  <si>
    <t xml:space="preserve">Calibration and validation at field and national scale (Baborówko validation dataset)</t>
  </si>
  <si>
    <t xml:space="preserve">Field scale r2 = 0.65, RMSEv = 0.11% for SOC; best RMSEP 0.11% (SOC) and 0.33% (clay) using raw spectra</t>
  </si>
  <si>
    <t xml:space="preserve">Estimating multiple soil properties at field and national scale at relatively low cost</t>
  </si>
  <si>
    <t xml:space="preserve">National-scale predictions were promising but less robust than field scale; low RMSE partly reflects a narrow SOC range in calibration and validation sets and the field's relatively homogeneous texture</t>
  </si>
  <si>
    <t xml:space="preserve">Reviews the development of vis-NIR spectroscopy for agricultural soil analysis in Poland and introduces the Polish Soil Spectral Library. Best results came from raw spectra for both SOC and clay; SNV and Savitzky-Golay pretreatments gave no improvement at the homogeneous field site.</t>
  </si>
  <si>
    <t xml:space="preserve">PL-PSSL</t>
  </si>
  <si>
    <t xml:space="preserve">MohammedZein M.A.; Csorba A.; Rotich B.; Justin P.N.; Melenya C.; Andrei Y.; Micheli E.</t>
  </si>
  <si>
    <t xml:space="preserve">Development of Hungarian spectral library: Prediction of soil properties and applications</t>
  </si>
  <si>
    <t xml:space="preserve">10.18393/ejss.1275149</t>
  </si>
  <si>
    <t xml:space="preserve">Hungarian MIR spectral library (SIMS)</t>
  </si>
  <si>
    <t xml:space="preserve">National (with county and soil-type models)</t>
  </si>
  <si>
    <t xml:space="preserve">Hungary (10 counties)</t>
  </si>
  <si>
    <t xml:space="preserve">2200</t>
  </si>
  <si>
    <t xml:space="preserve">Archived soil samples from the first Soil Information and Mentoring System (SIMS) survey across 10 counties</t>
  </si>
  <si>
    <t xml:space="preserve">FTIR spectrometer (OPUS software)</t>
  </si>
  <si>
    <t xml:space="preserve">Archived samples prepared and scanned by DRIFT (diffuse reflectance infrared spectroscopy)</t>
  </si>
  <si>
    <t xml:space="preserve">Laboratory (DRIFT)</t>
  </si>
  <si>
    <t xml:space="preserve">Soil organic carbon; CaCO3; sand; clay; silt</t>
  </si>
  <si>
    <t xml:space="preserve">Preprocessed filtering methods; outlier detection; calibration sample selection</t>
  </si>
  <si>
    <t xml:space="preserve">Partial Least Square Regression (PLSR) at national, county and soil-type scales</t>
  </si>
  <si>
    <t xml:space="preserve">R2, RMSE, RPD</t>
  </si>
  <si>
    <t xml:space="preserve">Outlier detection and calibration sample selection applied to the spectral library</t>
  </si>
  <si>
    <t xml:space="preserve">Updating soil information systems; national, county and soil-type scale soil property estimation</t>
  </si>
  <si>
    <t xml:space="preserve">The Hungarian MIR library estimated SOC, CaCO3, sand, clay and silt with precision sufficient to support national, county and soil-type level applications requiring large volumes of soil data. Distinct from the Hungarian vis-NIR HSDOS library already in this review.</t>
  </si>
  <si>
    <t xml:space="preserve">HU-SIMS</t>
  </si>
  <si>
    <t xml:space="preserve">MohammedZein M.A.; Csorba A.; Rotich B.; Justin P.N.; Mohamed H.T.; Micheli E.</t>
  </si>
  <si>
    <t xml:space="preserve">Prediction of some selected soil properties using the Hungarian Mid-infrared spectral library</t>
  </si>
  <si>
    <t xml:space="preserve">10.18393/ejss.1309753</t>
  </si>
  <si>
    <t xml:space="preserve">Archived soil samples scanned by FTIR</t>
  </si>
  <si>
    <t xml:space="preserve">Cation exchange capacity (CEC); exchangeable Mg; exchangeable Ca; pH (water)</t>
  </si>
  <si>
    <t xml:space="preserve">Preprocessed filtering; outlier detection; calibration sample selection</t>
  </si>
  <si>
    <t xml:space="preserve">Partial least square regression</t>
  </si>
  <si>
    <t xml:space="preserve">Model validation with sample predictions</t>
  </si>
  <si>
    <t xml:space="preserve">Estimating CEC, exchangeable Ca and Mg, and pH at national, county and soil-type scales</t>
  </si>
  <si>
    <t xml:space="preserve">The Hungarian MIR library estimated CEC and exchangeable Ca and Mg across national, county and soil-type scales at differing levels of accuracy.</t>
  </si>
  <si>
    <t xml:space="preserve">Hong Y.; Sanderman J.; Hengl T.; Chen S.; Wang N.; Xue J.; Zhuo Z.; Peng J.; Chen Y.; Shi Z.</t>
  </si>
  <si>
    <t xml:space="preserve">Potential of globally distributed topsoil mid-infrared spectral library for organic carbon estimation</t>
  </si>
  <si>
    <t xml:space="preserve">10.1016/j.catena.2023.107628</t>
  </si>
  <si>
    <t xml:space="preserve">Globally distributed topsoil MIR spectral library</t>
  </si>
  <si>
    <t xml:space="preserve">Globally distributed</t>
  </si>
  <si>
    <t xml:space="preserve">Global organic carbon estimation from a distributed topsoil MIR library</t>
  </si>
  <si>
    <t xml:space="preserve">Assesses the potential of a globally distributed topsoil MIR library for soil organic carbon estimation.</t>
  </si>
  <si>
    <t xml:space="preserve">GL-TOPMIR</t>
  </si>
  <si>
    <t xml:space="preserve">DOI not verified; Soil Science Society of America Journal 66(3):988-998</t>
  </si>
  <si>
    <t xml:space="preserve">ICRAF East/Southern Africa reflectance spectral library</t>
  </si>
  <si>
    <t xml:space="preserve">Eastern and southern Africa</t>
  </si>
  <si>
    <t xml:space="preserve">&gt;1000 archived topsoils</t>
  </si>
  <si>
    <t xml:space="preserve">Diverse library of archived topsoils from eastern and southern Africa</t>
  </si>
  <si>
    <t xml:space="preserve">vis-NIR (diffuse reflectance)</t>
  </si>
  <si>
    <t xml:space="preserve">350-2500 (0.35-2.5 um)</t>
  </si>
  <si>
    <t xml:space="preserve">Laboratory, artificial light source</t>
  </si>
  <si>
    <t xml:space="preserve">Multivariate adaptive regression splines (MARS); classification trees for soil fertility constraint screening</t>
  </si>
  <si>
    <t xml:space="preserve">Random one-third of soils withheld for validation</t>
  </si>
  <si>
    <t xml:space="preserve">Rapid non-destructive estimation of soil properties; screening tests for soil fertility constraints; linking soil information with multi- and hyperspectral remote sensing</t>
  </si>
  <si>
    <t xml:space="preserve">The originating study for the soil spectral library concept. Established a scheme for using diffuse reflectance spectroscopy libraries for rapid non-destructive soil property estimation, and framed the library approach as a means of linking soil information to remote sensing imagery.</t>
  </si>
  <si>
    <t xml:space="preserve">Duplicate of row 52</t>
  </si>
  <si>
    <t xml:space="preserve">Agriculture and Agri-Food Canada (Canadian Soil Information Service)</t>
  </si>
  <si>
    <t xml:space="preserve">The Canadian Prairie Soil Spectral Library (CPSSL)</t>
  </si>
  <si>
    <t xml:space="preserve">Ongoing (accessed 2026)</t>
  </si>
  <si>
    <t xml:space="preserve">No DOI; resource at sis.agr.gc.ca/cansis/spectral</t>
  </si>
  <si>
    <t xml:space="preserve">Canadian Prairie Soil Spectral Library (CPSSL)</t>
  </si>
  <si>
    <t xml:space="preserve">Canadian prairies</t>
  </si>
  <si>
    <t xml:space="preserve">8396 spectra</t>
  </si>
  <si>
    <t xml:space="preserve">Annual and perennial cropping systems</t>
  </si>
  <si>
    <t xml:space="preserve">Legacy soil data spanning diverse geographic regions, depths, cropping systems and sampling years</t>
  </si>
  <si>
    <t xml:space="preserve">Benchtop spectrometer</t>
  </si>
  <si>
    <t xml:space="preserve">Air-dried and sieved (&lt;2 mm)</t>
  </si>
  <si>
    <t xml:space="preserve">Laboratory (benchtop)</t>
  </si>
  <si>
    <t xml:space="preserve">Soil organic carbon; total carbon; inorganic carbon; total nitrogen; pH; electrical conductivity; sand; silt; clay; bulk density</t>
  </si>
  <si>
    <t xml:space="preserve">Location, spatial coordinates, sampling year, depth, land cover</t>
  </si>
  <si>
    <t xml:space="preserve">Public resource hosted by Agriculture and Agri-Food Canada</t>
  </si>
  <si>
    <t xml:space="preserve">Filling soil information gaps in the Canadian prairies, which account for more than 80% of Canada's arable land</t>
  </si>
  <si>
    <t xml:space="preserve">Lack of critical soil information at precise temporal and spatial scales, due in part to cost</t>
  </si>
  <si>
    <t xml:space="preserve">Described as the first regional soil spectral library in Canada, tailored to the characteristics of the Canadian prairies. No peer-reviewed publication located; cite the AAFC resource page.</t>
  </si>
  <si>
    <t xml:space="preserve">CA-CPSSL</t>
  </si>
  <si>
    <t xml:space="preserve">Spectral region</t>
  </si>
  <si>
    <t xml:space="preserve">Largest size reported in linked papers</t>
  </si>
  <si>
    <t xml:space="preserve">Samples (numeric)</t>
  </si>
  <si>
    <t xml:space="preserve">Under 200 samples?</t>
  </si>
  <si>
    <t xml:space="preserve">Data availability</t>
  </si>
  <si>
    <t xml:space="preserve">Reference row in Papers</t>
  </si>
  <si>
    <t xml:space="preserve">Primary paper in review?</t>
  </si>
  <si>
    <t xml:space="preserve">Included papers linked</t>
  </si>
  <si>
    <t xml:space="preserve">Introducing paper</t>
  </si>
  <si>
    <t xml:space="preserve">Notes</t>
  </si>
  <si>
    <t xml:space="preserve">Map longitude (approx.)</t>
  </si>
  <si>
    <t xml:space="preserve">Map latitude (approx.)</t>
  </si>
  <si>
    <t xml:space="preserve">Not recorded</t>
  </si>
  <si>
    <t xml:space="preserve">49753 (vis-NIR-SWIR) / 4951 (MIR) (row 69)</t>
  </si>
  <si>
    <t xml:space="preserve">Demattê et al. 2022 (row 69)</t>
  </si>
  <si>
    <t xml:space="preserve">Global VNIR diffuse reflectance library (Brown et al.)</t>
  </si>
  <si>
    <t xml:space="preserve">4184 (3768 USA; 416 from outside the USA) (row 96)</t>
  </si>
  <si>
    <t xml:space="preserve">Brown et al. 2006 (row 96)</t>
  </si>
  <si>
    <t xml:space="preserve">23631 spectra (row 95)</t>
  </si>
  <si>
    <t xml:space="preserve">Viscarra Rossel et al. 2016 (row 95)</t>
  </si>
  <si>
    <t xml:space="preserve">ICRAF-ISRIC global MIR library</t>
  </si>
  <si>
    <t xml:space="preserve">971 (row 97)</t>
  </si>
  <si>
    <t xml:space="preserve">Terhoeven-Urselmans et al. 2010 (row 97)</t>
  </si>
  <si>
    <t xml:space="preserve">ICRAF-ISRIC global vis-NIR library</t>
  </si>
  <si>
    <t xml:space="preserve">4437 (row 68)</t>
  </si>
  <si>
    <t xml:space="preserve">— not in review</t>
  </si>
  <si>
    <t xml:space="preserve">Candidate primary reference: ICRAF-ISRIC Soil VNIR Spectral Library dataset (World Agroforestry dataverse) – verify</t>
  </si>
  <si>
    <t xml:space="preserve">Open Soil Spectral Library (OSSL)</t>
  </si>
  <si>
    <t xml:space="preserve">135651 (row 16)</t>
  </si>
  <si>
    <t xml:space="preserve">Safanelli et al. 2025 (row 16)</t>
  </si>
  <si>
    <t xml:space="preserve">Globally distributed topsoil MIR library</t>
  </si>
  <si>
    <t xml:space="preserve">Hong et al. 2024 (row 112)</t>
  </si>
  <si>
    <t xml:space="preserve">Check whether this is a subset of KSSL/OSSL rather than a separate library</t>
  </si>
  <si>
    <t xml:space="preserve">ICRAF Eastern &amp; Southern Africa reflectance library</t>
  </si>
  <si>
    <t xml:space="preserve">Continental / regional</t>
  </si>
  <si>
    <t xml:space="preserve">274 (South Africa) + 697 (Eastern Africa); row 113 reports &gt;1000 archived topsoils (row 52)</t>
  </si>
  <si>
    <t xml:space="preserve">Shepherd &amp; Walsh 2002 (row 52)</t>
  </si>
  <si>
    <t xml:space="preserve">Countries not itemised in the sheet</t>
  </si>
  <si>
    <t xml:space="preserve">LUCAS topsoil vis-NIR library</t>
  </si>
  <si>
    <t xml:space="preserve">19969 (row 39)</t>
  </si>
  <si>
    <t xml:space="preserve">Candidate primary reference: Orgiazzi et al. 2018 (EJSS), LUCAS Soil dataset – verify</t>
  </si>
  <si>
    <t xml:space="preserve">Central African Soil Spectral Library</t>
  </si>
  <si>
    <t xml:space="preserve">DR Congo; Rwanda; Uganda</t>
  </si>
  <si>
    <t xml:space="preserve">1800 (row 32)</t>
  </si>
  <si>
    <t xml:space="preserve">Summerauer et al. 2021 (row 32)</t>
  </si>
  <si>
    <t xml:space="preserve">West African NIR spectral library</t>
  </si>
  <si>
    <t xml:space="preserve">Benin; Burkina Faso; Congo; Togo; Cameroon</t>
  </si>
  <si>
    <t xml:space="preserve">181 (row 33)</t>
  </si>
  <si>
    <t xml:space="preserve">Cambou et al. 2024 (row 33)</t>
  </si>
  <si>
    <t xml:space="preserve">LUCAS-based MIR library (BE/LU/DE/NL)</t>
  </si>
  <si>
    <t xml:space="preserve">Belgium; Luxembourg; Germany; Netherlands</t>
  </si>
  <si>
    <t xml:space="preserve">1013 (row 7)</t>
  </si>
  <si>
    <t xml:space="preserve">Leenen et al. 2022 (row 7)</t>
  </si>
  <si>
    <t xml:space="preserve">GEO-CRADLE soil spectral library</t>
  </si>
  <si>
    <t xml:space="preserve">Greece; Israel; Albania; Bulgaria; Serbia; Turkey; Cyprus; Egypt</t>
  </si>
  <si>
    <t xml:space="preserve">Europe / Asia / Africa</t>
  </si>
  <si>
    <t xml:space="preserve">1760 (row 31)</t>
  </si>
  <si>
    <t xml:space="preserve">Tziolas et al. 2019 (row 31)</t>
  </si>
  <si>
    <t xml:space="preserve">Austrian NIR soil spectral library</t>
  </si>
  <si>
    <t xml:space="preserve">2129 (row 43)</t>
  </si>
  <si>
    <t xml:space="preserve">Fohrafellner et al. 2026 (row 43)</t>
  </si>
  <si>
    <t xml:space="preserve">20495 samples from 4526 locations (row 100)</t>
  </si>
  <si>
    <t xml:space="preserve">Baldock et al. 2013 (row 100)</t>
  </si>
  <si>
    <t xml:space="preserve">Australian soil vis-NIR spectroscopic database</t>
  </si>
  <si>
    <t xml:space="preserve">~20000 (archived samples) (row 99)</t>
  </si>
  <si>
    <t xml:space="preserve">Viscarra Rossel &amp; Webster 2012 (row 99)</t>
  </si>
  <si>
    <t xml:space="preserve">Brazilian Soil Spectral Library (BSSL, vis-NIR-SWIR)</t>
  </si>
  <si>
    <t xml:space="preserve">39284 (row 58)</t>
  </si>
  <si>
    <t xml:space="preserve">Demattê 2019 (row 58)</t>
  </si>
  <si>
    <t xml:space="preserve">Brazilian soil MIR Spectral Library</t>
  </si>
  <si>
    <t xml:space="preserve">4309 (MIR) (row 64)</t>
  </si>
  <si>
    <t xml:space="preserve">Mendes et al. 2022 (row 64)</t>
  </si>
  <si>
    <t xml:space="preserve">Swiss MIR soil spectral library</t>
  </si>
  <si>
    <t xml:space="preserve">4374 (row 66)</t>
  </si>
  <si>
    <t xml:space="preserve">Baumann et al. 2021 (row 65)</t>
  </si>
  <si>
    <t xml:space="preserve">4086 (row 62)</t>
  </si>
  <si>
    <t xml:space="preserve">Shi et al. 2014 (row 25)</t>
  </si>
  <si>
    <t xml:space="preserve">Czechia</t>
  </si>
  <si>
    <t xml:space="preserve">Gholizadeh et al. 2021 (row 103)</t>
  </si>
  <si>
    <t xml:space="preserve">150 (row 22)</t>
  </si>
  <si>
    <t xml:space="preserve">Brodský et al. 2011 (row 22)</t>
  </si>
  <si>
    <t xml:space="preserve">Danish national vis-NIR library</t>
  </si>
  <si>
    <t xml:space="preserve">2851 (row 101)</t>
  </si>
  <si>
    <t xml:space="preserve">Knadel et al. 2012 (row 101)</t>
  </si>
  <si>
    <t xml:space="preserve">French RMQS NIR/MIR national library</t>
  </si>
  <si>
    <t xml:space="preserve">Clairotte et al. 2016 (row 4)</t>
  </si>
  <si>
    <t xml:space="preserve">French RMQS vis-NIR national database</t>
  </si>
  <si>
    <t xml:space="preserve">May be the same RMQS sample set as FR-RMQS-IR measured in vis-NIR – check</t>
  </si>
  <si>
    <t xml:space="preserve">Hungarian vis-NIR library (HSDOS)</t>
  </si>
  <si>
    <t xml:space="preserve">5490 (row 70)</t>
  </si>
  <si>
    <t xml:space="preserve">Mészáros et al. 2025 (row 70)</t>
  </si>
  <si>
    <t xml:space="preserve">Hungarian MIR library (SIMS)</t>
  </si>
  <si>
    <t xml:space="preserve">2200 (row 110)</t>
  </si>
  <si>
    <t xml:space="preserve">MohammedZein et al. 2023 (row 110)</t>
  </si>
  <si>
    <t xml:space="preserve">1601 (row 27)</t>
  </si>
  <si>
    <t xml:space="preserve">Ng et al. 2020 (row 27)</t>
  </si>
  <si>
    <t xml:space="preserve">Irish mineral/organo-mineral MIR library</t>
  </si>
  <si>
    <t xml:space="preserve">9993 (row 90)</t>
  </si>
  <si>
    <t xml:space="preserve">Tel Aviv University legacy soil spectral library</t>
  </si>
  <si>
    <t xml:space="preserve">Size not reported in the sheet (linked papers use 12 and 91-sample subsets)</t>
  </si>
  <si>
    <t xml:space="preserve">New Zealand soil spectral library</t>
  </si>
  <si>
    <t xml:space="preserve">11246 (row 10)</t>
  </si>
  <si>
    <t xml:space="preserve">Ma et al. 2023 (row 9)</t>
  </si>
  <si>
    <t xml:space="preserve">Poland</t>
  </si>
  <si>
    <t xml:space="preserve">Debaene 2019 (row 109)</t>
  </si>
  <si>
    <t xml:space="preserve">United States</t>
  </si>
  <si>
    <t xml:space="preserve">83876 (row 83)</t>
  </si>
  <si>
    <t xml:space="preserve">Candidate primary reference: Wijewardane et al. 2018 (SSSAJ) or Sanderman et al. 2020 – verify</t>
  </si>
  <si>
    <t xml:space="preserve">USDA NSSC-KSSL vis-NIR library</t>
  </si>
  <si>
    <t xml:space="preserve">14574 (row 21)</t>
  </si>
  <si>
    <t xml:space="preserve">Eastern Australia cotton-region MIR library</t>
  </si>
  <si>
    <t xml:space="preserve">1878 (row 35)</t>
  </si>
  <si>
    <t xml:space="preserve">Rossel et al. 2008 (row 35)</t>
  </si>
  <si>
    <t xml:space="preserve">New South Wales regional SSL</t>
  </si>
  <si>
    <t xml:space="preserve">1867 (row 34)</t>
  </si>
  <si>
    <t xml:space="preserve">Routine-laboratory NeoSpectra NIR library (Brazil)</t>
  </si>
  <si>
    <t xml:space="preserve">9000+ (row 86)</t>
  </si>
  <si>
    <t xml:space="preserve">Fonseca et al. 2026 (row 86)</t>
  </si>
  <si>
    <t xml:space="preserve">Soil spectral library of Piauí State</t>
  </si>
  <si>
    <t xml:space="preserve">262 (row 49)</t>
  </si>
  <si>
    <t xml:space="preserve">Mendes et al. 2021 (row 49)</t>
  </si>
  <si>
    <t xml:space="preserve">Southern Brazil regional legacy soil spectral dataset</t>
  </si>
  <si>
    <t xml:space="preserve">1534 (row 24)</t>
  </si>
  <si>
    <t xml:space="preserve">Silva et al. 2019 (row 24)</t>
  </si>
  <si>
    <t xml:space="preserve">May overlap with BR-SUBTROP (same research group) – check</t>
  </si>
  <si>
    <t xml:space="preserve">Subtropical soil spectral library (southern Brazil)</t>
  </si>
  <si>
    <t xml:space="preserve">1966 (row 38)</t>
  </si>
  <si>
    <t xml:space="preserve">8396 spectra (row 114)</t>
  </si>
  <si>
    <t xml:space="preserve">AAFC CPSSL web resource (accessed 2026) (row 114)</t>
  </si>
  <si>
    <t xml:space="preserve">Online resource; no peer-reviewed paper</t>
  </si>
  <si>
    <t xml:space="preserve">440 (row 67)</t>
  </si>
  <si>
    <t xml:space="preserve">Lateritic red soil spectral library (LRSSL)</t>
  </si>
  <si>
    <t xml:space="preserve">742 (row 82)</t>
  </si>
  <si>
    <t xml:space="preserve">Wuhan urban soil spectral library</t>
  </si>
  <si>
    <t xml:space="preserve">3492 (row 56)</t>
  </si>
  <si>
    <t xml:space="preserve">Zhejiang provincial SSL (ZSSL)</t>
  </si>
  <si>
    <t xml:space="preserve">2069 (row 41)</t>
  </si>
  <si>
    <t xml:space="preserve">Laboratory-synthesised cropland SSL (India)</t>
  </si>
  <si>
    <t xml:space="preserve">India</t>
  </si>
  <si>
    <t xml:space="preserve">Reddy &amp; Shwetha 2024 (row 2)</t>
  </si>
  <si>
    <t xml:space="preserve">Western Rajasthan vis-NIR-SWIR library</t>
  </si>
  <si>
    <t xml:space="preserve">138 (row 18)</t>
  </si>
  <si>
    <t xml:space="preserve">Santra et al. 2015 (row 18)</t>
  </si>
  <si>
    <t xml:space="preserve">Calabria forest soil vis-NIR dataset</t>
  </si>
  <si>
    <t xml:space="preserve">Italy</t>
  </si>
  <si>
    <t xml:space="preserve">267 (row 50)</t>
  </si>
  <si>
    <t xml:space="preserve">Conforti et al. 2018 (row 50)</t>
  </si>
  <si>
    <t xml:space="preserve">Presented as a calibration study rather than a library – borderline</t>
  </si>
  <si>
    <t xml:space="preserve">Japanese soil FTIR dataset (4 prefectures)</t>
  </si>
  <si>
    <t xml:space="preserve">Japan</t>
  </si>
  <si>
    <t xml:space="preserve">He et al. 2025 (row 108)</t>
  </si>
  <si>
    <t xml:space="preserve">Borderline: multi-prefecture dataset, not named as a library by the authors</t>
  </si>
  <si>
    <t xml:space="preserve">Gyeonggi Soil Spectral Library (G-SSL)</t>
  </si>
  <si>
    <t xml:space="preserve">1500 (row 23)</t>
  </si>
  <si>
    <t xml:space="preserve">Bae et al. 2026 (row 23)</t>
  </si>
  <si>
    <t xml:space="preserve">599 (row 72)</t>
  </si>
  <si>
    <t xml:space="preserve">Limpopo National Park NIR library</t>
  </si>
  <si>
    <t xml:space="preserve">129 (row 15)</t>
  </si>
  <si>
    <t xml:space="preserve">Cambule et al. 2012 (row 15)</t>
  </si>
  <si>
    <t xml:space="preserve">Otago &amp; Southland regional SSL</t>
  </si>
  <si>
    <t xml:space="preserve">625 (row 75)</t>
  </si>
  <si>
    <t xml:space="preserve">Hawaiʻi soil health MIR library</t>
  </si>
  <si>
    <t xml:space="preserve">655 (row 77)</t>
  </si>
  <si>
    <t xml:space="preserve">Beckstrom et al. 2025 (row 77)</t>
  </si>
  <si>
    <t xml:space="preserve">Western Highveld MIR library (South Africa)</t>
  </si>
  <si>
    <t xml:space="preserve">979 (row 89)</t>
  </si>
  <si>
    <t xml:space="preserve">Kock et al. 2024 (row 89)</t>
  </si>
  <si>
    <t xml:space="preserve">Country</t>
  </si>
  <si>
    <t xml:space="preserve">Library has included papers?</t>
  </si>
  <si>
    <t xml:space="preserve">DR Congo</t>
  </si>
  <si>
    <t xml:space="preserve">Rwanda</t>
  </si>
  <si>
    <t xml:space="preserve">Uganda</t>
  </si>
  <si>
    <t xml:space="preserve">Benin</t>
  </si>
  <si>
    <t xml:space="preserve">Burkina Faso</t>
  </si>
  <si>
    <t xml:space="preserve">Congo</t>
  </si>
  <si>
    <t xml:space="preserve">Togo</t>
  </si>
  <si>
    <t xml:space="preserve">Cameroon</t>
  </si>
  <si>
    <t xml:space="preserve">Belgium</t>
  </si>
  <si>
    <t xml:space="preserve">Luxembourg</t>
  </si>
  <si>
    <t xml:space="preserve">Bulgaria</t>
  </si>
  <si>
    <t xml:space="preserve">Serbia</t>
  </si>
  <si>
    <t xml:space="preserve">Turkey</t>
  </si>
  <si>
    <t xml:space="preserve">Cyprus</t>
  </si>
  <si>
    <t xml:space="preserve">Egypt</t>
  </si>
  <si>
    <t xml:space="preserve">Highest scale</t>
  </si>
  <si>
    <t xml:space="preserve">Library IDs</t>
  </si>
  <si>
    <t xml:space="preserve">BR-BSSL; BR-BSSL-MIR; BR-NEOSPEC; BR-PI; BR-RS; BR-SUBTROP</t>
  </si>
  <si>
    <t xml:space="preserve">CN-CSSL; CN-HB; CN-LR; CN-WH; CN-ZJ</t>
  </si>
  <si>
    <t xml:space="preserve">AU-SCARP; AU-VNIR; AU-COTTON; AU-NSW</t>
  </si>
  <si>
    <t xml:space="preserve">US-KSSL-MIR; US-KSSL-VNIR; US-HI</t>
  </si>
  <si>
    <t xml:space="preserve">CZ-FOREST; CZ-SSL</t>
  </si>
  <si>
    <t xml:space="preserve">FR-RMQS-IR; FR-RMQS-VNIR</t>
  </si>
  <si>
    <t xml:space="preserve">HU-HSDOS; HU-SIMS</t>
  </si>
  <si>
    <t xml:space="preserve">MED-GEOCRADLE; IL-TAU</t>
  </si>
  <si>
    <t xml:space="preserve">NZ-SSL; NZ-OTAGO</t>
  </si>
  <si>
    <t xml:space="preserve">IN-PRISMA; IN-RAJ</t>
  </si>
  <si>
    <t xml:space="preserve">Sheet row</t>
  </si>
  <si>
    <t xml:space="preserve">Short reference</t>
  </si>
  <si>
    <t xml:space="preserve">Region / scope</t>
  </si>
  <si>
    <t xml:space="preserve">Why added</t>
  </si>
  <si>
    <t xml:space="preserve">Verification status</t>
  </si>
  <si>
    <t xml:space="preserve">Viscarra Rossel et al. 2016</t>
  </si>
  <si>
    <t xml:space="preserve">Global vis-NIR, 92 countries</t>
  </si>
  <si>
    <t xml:space="preserve">Flagship global SSL; most-cited global reference and absent from the review</t>
  </si>
  <si>
    <t xml:space="preserve">DOI, author list, 23,631 spectra and QA/QC detail verified against publisher and repository records</t>
  </si>
  <si>
    <t xml:space="preserve">Brown et al. 2006</t>
  </si>
  <si>
    <t xml:space="preserve">Global VNIR, 37 countries</t>
  </si>
  <si>
    <t xml:space="preserve">Foundational global VNIR library; origin of the large-scale SSL template</t>
  </si>
  <si>
    <t xml:space="preserve">DOI and 4,184 / 416-sample split verified</t>
  </si>
  <si>
    <t xml:space="preserve">Terhoeven-Urselmans et al. 2010</t>
  </si>
  <si>
    <t xml:space="preserve">Global MIR (ICRAF-ISRIC)</t>
  </si>
  <si>
    <t xml:space="preserve">Foundational global MIR library; complements ICRAF-ISRIC vis-NIR entries</t>
  </si>
  <si>
    <t xml:space="preserve">DOI, 971 samples and 4000-602 cm-1 range verified</t>
  </si>
  <si>
    <t xml:space="preserve">Dangal et al. 2019</t>
  </si>
  <si>
    <t xml:space="preserve">USA, KSSL MIR</t>
  </si>
  <si>
    <t xml:space="preserve">Large national MIR library underpinning much US work</t>
  </si>
  <si>
    <t xml:space="preserve">DOI and n&gt;50,000 verified</t>
  </si>
  <si>
    <t xml:space="preserve">Viscarra Rossel &amp; Webster 2012</t>
  </si>
  <si>
    <t xml:space="preserve">Australia, national vis-NIR</t>
  </si>
  <si>
    <t xml:space="preserve">Origin paper for the Australian national database</t>
  </si>
  <si>
    <t xml:space="preserve">DOI, journal/volume and ~20,000 archived samples verified</t>
  </si>
  <si>
    <t xml:space="preserve">Baldock et al. 2013</t>
  </si>
  <si>
    <t xml:space="preserve">Australia, SCaRP national MIR</t>
  </si>
  <si>
    <t xml:space="preserve">Major national MIR library; larger omission than the CSIRO vis-NIR entry already present</t>
  </si>
  <si>
    <t xml:space="preserve">DOI, 20,495 samples / 4,526 locations, PLSR and spectral processing verified</t>
  </si>
  <si>
    <t xml:space="preserve">Knadel et al. 2012</t>
  </si>
  <si>
    <t xml:space="preserve">Denmark, national vis-NIR</t>
  </si>
  <si>
    <t xml:space="preserve">Origin paper for the Danish library; the review cites Peng et al. 2013 which uses it</t>
  </si>
  <si>
    <t xml:space="preserve">DOI, 2,851 samples, LabSpec 5100 and all performance metrics verified</t>
  </si>
  <si>
    <t xml:space="preserve">Gogé et al. 2014</t>
  </si>
  <si>
    <t xml:space="preserve">France, national vis-NIR (RMQS)</t>
  </si>
  <si>
    <t xml:space="preserve">Standard French national reference; only Clairotte et al. 2016 was present</t>
  </si>
  <si>
    <t xml:space="preserve">DOI, journal/volume and method description verified</t>
  </si>
  <si>
    <t xml:space="preserve">Gholizadeh et al. 2021</t>
  </si>
  <si>
    <t xml:space="preserve">Czech Republic, national forest</t>
  </si>
  <si>
    <t xml:space="preserve">Both existing Czech entries are small/regional, not national</t>
  </si>
  <si>
    <t xml:space="preserve">DOI and title verified; author list beyond first author not confirmed</t>
  </si>
  <si>
    <t xml:space="preserve">Gomez et al. 2020</t>
  </si>
  <si>
    <t xml:space="preserve">Tunisia via French national MIR</t>
  </si>
  <si>
    <t xml:space="preserve">Fills North Africa gap; cross-library transfer case</t>
  </si>
  <si>
    <t xml:space="preserve">DOI and full author list verified</t>
  </si>
  <si>
    <t xml:space="preserve">Goydaragh et al. 2022</t>
  </si>
  <si>
    <t xml:space="preserve">Iran-affiliated; large SSLs</t>
  </si>
  <si>
    <t xml:space="preserve">Partially addresses the Iran gap; no discrete Iranian national SSL was located</t>
  </si>
  <si>
    <t xml:space="preserve">DOI and author list verified</t>
  </si>
  <si>
    <t xml:space="preserve">Singh &amp; Kasana 2019</t>
  </si>
  <si>
    <t xml:space="preserve">EU spectral library</t>
  </si>
  <si>
    <t xml:space="preserve">Deep-learning application to the continental EU library</t>
  </si>
  <si>
    <t xml:space="preserve">DOI and title verified</t>
  </si>
  <si>
    <t xml:space="preserve">Sorenson et al. 2017</t>
  </si>
  <si>
    <t xml:space="preserve">Canada, reclaimed soils</t>
  </si>
  <si>
    <t xml:space="preserve">Only peer-reviewed Canadian option located</t>
  </si>
  <si>
    <t xml:space="preserve">He, Matsui &amp; Tanaka 2025</t>
  </si>
  <si>
    <t xml:space="preserve">Japan, national FTIR MIR</t>
  </si>
  <si>
    <t xml:space="preserve">Supplied by user; fills the Japan gap</t>
  </si>
  <si>
    <t xml:space="preserve">DOI, authors, journal pages, KBr prep, model set and findings verified</t>
  </si>
  <si>
    <t xml:space="preserve">Debaene 2019</t>
  </si>
  <si>
    <t xml:space="preserve">Poland, PSSL</t>
  </si>
  <si>
    <t xml:space="preserve">Supplied by user; fills the Poland gap</t>
  </si>
  <si>
    <t xml:space="preserve">DOI, journal/issue, performance metrics and preprocessing findings verified</t>
  </si>
  <si>
    <t xml:space="preserve">MohammedZein et al. 2023a</t>
  </si>
  <si>
    <t xml:space="preserve">Hungary, MIR (SIMS)</t>
  </si>
  <si>
    <t xml:space="preserve">Hungarian MIR library is distinct from the vis-NIR HSDOS entry at row 70</t>
  </si>
  <si>
    <t xml:space="preserve">DOI, authors, 2,200 samples and DRIFT/PLSR method verified</t>
  </si>
  <si>
    <t xml:space="preserve">MohammedZein et al. 2023b</t>
  </si>
  <si>
    <t xml:space="preserve">Companion paper covering CEC, exchangeable Ca/Mg and pH</t>
  </si>
  <si>
    <t xml:space="preserve">DOI, authors and property set verified</t>
  </si>
  <si>
    <t xml:space="preserve">Hong et al. 2024</t>
  </si>
  <si>
    <t xml:space="preserve">Global topsoil MIR</t>
  </si>
  <si>
    <t xml:space="preserve">Global MIR library not otherwise represented</t>
  </si>
  <si>
    <t xml:space="preserve">DOI, authors and title verified</t>
  </si>
  <si>
    <t xml:space="preserve">Shepherd &amp; Walsh 2002</t>
  </si>
  <si>
    <t xml:space="preserve">UNVERIFIED - SSSAJ 66(3):988-998</t>
  </si>
  <si>
    <t xml:space="preserve">Eastern/southern Africa</t>
  </si>
  <si>
    <t xml:space="preserve">Originating study for the soil spectral library concept</t>
  </si>
  <si>
    <t xml:space="preserve">Title, journal, volume/pages, &gt;1000 samples and MARS method verified. DOI NOT verified - confirm before publishing</t>
  </si>
  <si>
    <t xml:space="preserve">CPSSL (AAFC)</t>
  </si>
  <si>
    <t xml:space="preserve">No DOI - sis.agr.gc.ca/cansis/spectral</t>
  </si>
  <si>
    <t xml:space="preserve">First regional SSL in Canada; no journal paper located</t>
  </si>
  <si>
    <t xml:space="preserve">Sample count, spectral range, prep and property list verified from the AAFC resource page</t>
  </si>
  <si>
    <t xml:space="preserve">NOT ADDED - already present in the review:</t>
  </si>
  <si>
    <t xml:space="preserve">row 83</t>
  </si>
  <si>
    <t xml:space="preserve">Shepherd et al. 2022, A global soil spectral calibration library and estimation service (10.1016/j.soisec.2022.100061)</t>
  </si>
  <si>
    <t xml:space="preserve">row 16</t>
  </si>
  <si>
    <t xml:space="preserve">Safanelli et al. 2025, OSSL (10.1371/journal.pone.0296545)</t>
  </si>
  <si>
    <t xml:space="preserve">row 70</t>
  </si>
  <si>
    <t xml:space="preserve">Mészáros et al. 2025, Hungarian vis-NIR HSDOS (10.1038/s41597-025-04667-9)</t>
  </si>
  <si>
    <t xml:space="preserve">row 37</t>
  </si>
  <si>
    <t xml:space="preserve">Francos et al. 2023, spectral transfer function harmonization (10.1155/2023/4155390)</t>
  </si>
  <si>
    <t xml:space="preserve">NOT ADDED - candidates that still need DOI verification:</t>
  </si>
  <si>
    <t xml:space="preserve">Grinand et al. 2012, French national MIR, EJSS 63:141-151</t>
  </si>
  <si>
    <t xml:space="preserve">Araújo, Wetterlind, Demattê &amp; Stenberg 2014, Brazilian tropical vis-NIR clustering, EJSS 65(5):718-729</t>
  </si>
  <si>
    <t xml:space="preserve">Hicks et al. 2015, AusSpecMIR, 703 sites / 4,300 specimens</t>
  </si>
  <si>
    <t xml:space="preserve">Viscarra Rossel &amp; Hicks 2015, AusSpecNIR, 4,533 sites / 25,174 specimens</t>
  </si>
  <si>
    <t xml:space="preserve">Malone, Stockmann, Tuomi &amp; Sparrow 2020, TERN Surveillance Monitoring vis-NIR, 367 specimens</t>
  </si>
  <si>
    <t xml:space="preserve">Zenodo dataset DOIs for BSSL (10.5281/zenodo.8361419) and OSSL (10.5281/zenodo.7599269) - omitted to avoid duplicating the journal entries already in the review</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</si>
</sst>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b val="true"/>
      <sz val="10"/>
      <name val="Arial"/>
      <family val="0"/>
      <charset val="1"/>
    </font>
    <font>
      <i val="true"/>
      <sz val="10"/>
      <color rgb="FF666666"/>
      <name val="Arial"/>
      <family val="0"/>
      <charset val="1"/>
    </font>
    <font>
      <b val="true"/>
      <sz val="10"/>
      <color rgb="FFFFFFFF"/>
      <name val="Arial"/>
      <family val="0"/>
      <charset val="1"/>
    </font>
    <font>
      <sz val="10"/>
      <name val="Arial"/>
      <family val="2"/>
    </font>
  </fonts>
  <fills count="6">
    <fill>
      <patternFill patternType="none"/>
    </fill>
    <fill>
      <patternFill patternType="gray125"/>
    </fill>
    <fill>
      <patternFill patternType="solid">
        <fgColor rgb="FF4472C4"/>
        <bgColor rgb="FF666666"/>
      </patternFill>
    </fill>
    <fill>
      <patternFill patternType="solid">
        <fgColor rgb="FFFFF2CC"/>
        <bgColor rgb="FFEAF1FB"/>
      </patternFill>
    </fill>
    <fill>
      <patternFill patternType="solid">
        <fgColor rgb="FFFFFF00"/>
        <bgColor rgb="FFFFFF00"/>
      </patternFill>
    </fill>
    <fill>
      <patternFill patternType="solid">
        <fgColor rgb="FFEAF1FB"/>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4472C4"/>
          <bgColor rgb="FF000000"/>
        </patternFill>
      </fill>
    </dxf>
    <dxf>
      <fill>
        <patternFill patternType="solid">
          <fgColor rgb="FFEAF1FB"/>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AF1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2"/>
    <col collapsed="false" customWidth="true" hidden="false" outlineLevel="0" max="3" min="3" style="1" width="70"/>
  </cols>
  <sheetData>
    <row r="1" customFormat="false" ht="17.25" hidden="false" customHeight="true" outlineLevel="0" collapsed="false">
      <c r="A1" s="2" t="s">
        <v>0</v>
      </c>
    </row>
    <row r="4" customFormat="false" ht="15" hidden="false" customHeight="true" outlineLevel="0" collapsed="false">
      <c r="A4" s="3" t="s">
        <v>1</v>
      </c>
    </row>
    <row r="5" customFormat="false" ht="15" hidden="false" customHeight="true" outlineLevel="0" collapsed="false">
      <c r="A5" s="4" t="s">
        <v>2</v>
      </c>
      <c r="B5" s="5" t="n">
        <f aca="false">COUNTA(Papers!$B$2:$B$114)</f>
        <v>113</v>
      </c>
      <c r="C5" s="6"/>
    </row>
    <row r="6" customFormat="false" ht="15" hidden="false" customHeight="true" outlineLevel="0" collapsed="false">
      <c r="A6" s="4" t="s">
        <v>3</v>
      </c>
      <c r="B6" s="5" t="n">
        <f aca="false">COUNTIF(Papers!$AO$2:$AO$114,"Exclude (duplicate)")</f>
        <v>1</v>
      </c>
      <c r="C6" s="6"/>
    </row>
    <row r="7" customFormat="false" ht="15" hidden="false" customHeight="true" outlineLevel="0" collapsed="false">
      <c r="A7" s="4" t="s">
        <v>4</v>
      </c>
      <c r="B7" s="5" t="n">
        <f aca="false">COUNTIFS(Papers!$AO$2:$AO$114,"Exclude",Papers!$AK$2:$AK$114,"No")</f>
        <v>2</v>
      </c>
      <c r="C7" s="6"/>
    </row>
    <row r="8" customFormat="false" ht="15" hidden="false" customHeight="true" outlineLevel="0" collapsed="false">
      <c r="A8" s="4" t="s">
        <v>5</v>
      </c>
      <c r="B8" s="5" t="n">
        <f aca="false">COUNTIFS(Papers!$AO$2:$AO$114,"Exclude",Papers!$AK$2:$AK$114,"Yes",Papers!$AL$2:$AL$114,"No")</f>
        <v>1</v>
      </c>
      <c r="C8" s="6"/>
    </row>
    <row r="9" customFormat="false" ht="15" hidden="false" customHeight="true" outlineLevel="0" collapsed="false">
      <c r="A9" s="4" t="s">
        <v>6</v>
      </c>
      <c r="B9" s="5" t="n">
        <f aca="false">COUNTIFS(Papers!$AO$2:$AO$114,"Exclude",Papers!$AK$2:$AK$114,"Yes",Papers!$AL$2:$AL$114,"Yes",Papers!$AM$2:$AM$114,"No")</f>
        <v>24</v>
      </c>
      <c r="C9" s="6"/>
    </row>
    <row r="10" customFormat="false" ht="15" hidden="false" customHeight="true" outlineLevel="0" collapsed="false">
      <c r="A10" s="4" t="s">
        <v>7</v>
      </c>
      <c r="B10" s="5" t="n">
        <f aca="false">COUNTIF(Papers!$AO$2:$AO$114,"Check")</f>
        <v>1</v>
      </c>
      <c r="C10" s="6"/>
    </row>
    <row r="11" customFormat="false" ht="15" hidden="false" customHeight="true" outlineLevel="0" collapsed="false">
      <c r="A11" s="4" t="s">
        <v>8</v>
      </c>
      <c r="B11" s="5" t="n">
        <f aca="false">COUNTIF(Papers!$AO$2:$AO$114,"Include")</f>
        <v>84</v>
      </c>
      <c r="C11" s="6"/>
    </row>
    <row r="12" customFormat="false" ht="15" hidden="false" customHeight="true" outlineLevel="0" collapsed="false">
      <c r="A12" s="4" t="s">
        <v>9</v>
      </c>
      <c r="B12" s="5" t="str">
        <f aca="false">IF(B6+B7+B8+B9+B10+B11=B5,"OK","Mismatch")</f>
        <v>OK</v>
      </c>
      <c r="C12" s="6"/>
    </row>
    <row r="14" customFormat="false" ht="15" hidden="false" customHeight="true" outlineLevel="0" collapsed="false">
      <c r="A14" s="3" t="s">
        <v>10</v>
      </c>
    </row>
    <row r="15" customFormat="false" ht="15" hidden="false" customHeight="true" outlineLevel="0" collapsed="false">
      <c r="A15" s="4" t="s">
        <v>11</v>
      </c>
      <c r="B15" s="5" t="n">
        <f aca="false">COUNTIFS(Papers!$AO$2:$AO$114,"Include",Papers!$AQ$2:$AQ$114,"Introduces")</f>
        <v>40</v>
      </c>
      <c r="C15" s="6"/>
    </row>
    <row r="16" customFormat="false" ht="15" hidden="false" customHeight="true" outlineLevel="0" collapsed="false">
      <c r="A16" s="4" t="s">
        <v>12</v>
      </c>
      <c r="B16" s="5" t="n">
        <f aca="false">COUNTIFS(Papers!$AO$2:$AO$114,"Include",Papers!$AQ$2:$AQ$114,"Extends / updates")</f>
        <v>2</v>
      </c>
      <c r="C16" s="6"/>
    </row>
    <row r="17" customFormat="false" ht="15" hidden="false" customHeight="true" outlineLevel="0" collapsed="false">
      <c r="A17" s="4" t="s">
        <v>13</v>
      </c>
      <c r="B17" s="5" t="n">
        <f aca="false">COUNTIFS(Papers!$AO$2:$AO$114,"Include",Papers!$AQ$2:$AQ$114,"Methods for")</f>
        <v>7</v>
      </c>
      <c r="C17" s="6"/>
    </row>
    <row r="18" customFormat="false" ht="15" hidden="false" customHeight="true" outlineLevel="0" collapsed="false">
      <c r="A18" s="4" t="s">
        <v>14</v>
      </c>
      <c r="B18" s="5" t="n">
        <f aca="false">COUNTIFS(Papers!$AO$2:$AO$114,"Include",Papers!$AQ$2:$AQ$114,"Uses")</f>
        <v>35</v>
      </c>
      <c r="C18" s="6"/>
    </row>
    <row r="20" customFormat="false" ht="15" hidden="false" customHeight="true" outlineLevel="0" collapsed="false">
      <c r="A20" s="3" t="s">
        <v>15</v>
      </c>
    </row>
    <row r="21" customFormat="false" ht="15" hidden="false" customHeight="true" outlineLevel="0" collapsed="false">
      <c r="A21" s="4" t="s">
        <v>16</v>
      </c>
      <c r="B21" s="5" t="n">
        <f aca="false">COUNTA(Libraries!$A$2:$A$56)</f>
        <v>55</v>
      </c>
      <c r="C21" s="6"/>
    </row>
    <row r="22" customFormat="false" ht="15" hidden="false" customHeight="true" outlineLevel="0" collapsed="false">
      <c r="A22" s="4" t="s">
        <v>17</v>
      </c>
      <c r="B22" s="5" t="n">
        <f aca="false">COUNTIF(Libraries!$L$2:$L$56,"Yes")</f>
        <v>40</v>
      </c>
      <c r="C22" s="6"/>
    </row>
    <row r="23" customFormat="false" ht="15" hidden="false" customHeight="true" outlineLevel="0" collapsed="false">
      <c r="A23" s="4" t="s">
        <v>18</v>
      </c>
      <c r="B23" s="5" t="n">
        <f aca="false">COUNTIF(Libraries!$L$2:$L$56,"No")</f>
        <v>15</v>
      </c>
      <c r="C23" s="6" t="s">
        <v>19</v>
      </c>
    </row>
    <row r="24" customFormat="false" ht="15" hidden="false" customHeight="true" outlineLevel="0" collapsed="false">
      <c r="A24" s="4" t="s">
        <v>20</v>
      </c>
      <c r="B24" s="5" t="n">
        <f aca="false">COUNTIF(Libraries!$C$2:$C$56,"Global")</f>
        <v>7</v>
      </c>
      <c r="C24" s="6"/>
    </row>
    <row r="25" customFormat="false" ht="15" hidden="false" customHeight="true" outlineLevel="0" collapsed="false">
      <c r="A25" s="4" t="s">
        <v>21</v>
      </c>
      <c r="B25" s="5" t="n">
        <f aca="false">COUNTIF(Libraries!$C$2:$C$56,"Continental / regional")</f>
        <v>2</v>
      </c>
      <c r="C25" s="6"/>
    </row>
    <row r="26" customFormat="false" ht="15" hidden="false" customHeight="true" outlineLevel="0" collapsed="false">
      <c r="A26" s="4" t="s">
        <v>22</v>
      </c>
      <c r="B26" s="5" t="n">
        <f aca="false">COUNTIF(Libraries!$C$2:$C$56,"Multi-country")</f>
        <v>4</v>
      </c>
      <c r="C26" s="6"/>
    </row>
    <row r="27" customFormat="false" ht="15" hidden="false" customHeight="true" outlineLevel="0" collapsed="false">
      <c r="A27" s="4" t="s">
        <v>23</v>
      </c>
      <c r="B27" s="5" t="n">
        <f aca="false">COUNTIF(Libraries!$C$2:$C$56,"National")</f>
        <v>21</v>
      </c>
      <c r="C27" s="6"/>
    </row>
    <row r="28" customFormat="false" ht="15" hidden="false" customHeight="true" outlineLevel="0" collapsed="false">
      <c r="A28" s="4" t="s">
        <v>24</v>
      </c>
      <c r="B28" s="5" t="n">
        <f aca="false">COUNTIF(Libraries!$C$2:$C$56,"Sub-national")</f>
        <v>21</v>
      </c>
      <c r="C28" s="6"/>
    </row>
    <row r="29" customFormat="false" ht="15" hidden="false" customHeight="true" outlineLevel="0" collapsed="false">
      <c r="A29" s="4" t="s">
        <v>25</v>
      </c>
      <c r="B29" s="5" t="n">
        <f aca="false">COUNTIF(Libraries!$I$2:$I$56,"Yes")</f>
        <v>4</v>
      </c>
      <c r="C29" s="6" t="s">
        <v>26</v>
      </c>
    </row>
    <row r="31" customFormat="false" ht="15" hidden="false" customHeight="true" outlineLevel="0" collapsed="false">
      <c r="A31" s="3" t="s">
        <v>27</v>
      </c>
    </row>
    <row r="32" customFormat="false" ht="15" hidden="false" customHeight="true" outlineLevel="0" collapsed="false">
      <c r="A32" s="4" t="s">
        <v>28</v>
      </c>
      <c r="B32" s="5" t="n">
        <f aca="false">COUNTIF('Country coverage'!$C$2:$C$43,"&gt;0")</f>
        <v>42</v>
      </c>
      <c r="C32" s="6"/>
    </row>
    <row r="33" customFormat="false" ht="15" hidden="false" customHeight="true" outlineLevel="0" collapsed="false">
      <c r="A33" s="4" t="s">
        <v>29</v>
      </c>
      <c r="B33" s="5" t="n">
        <f aca="false">COUNTIF('Country coverage'!$G$2:$G$43,"National")</f>
        <v>15</v>
      </c>
      <c r="C33" s="6"/>
    </row>
    <row r="34" customFormat="false" ht="15" hidden="false" customHeight="true" outlineLevel="0" collapsed="false">
      <c r="A34" s="4" t="s">
        <v>30</v>
      </c>
      <c r="B34" s="5" t="n">
        <f aca="false">COUNTIF('Country coverage'!$G$2:$G$43,"Sub-national only")</f>
        <v>8</v>
      </c>
      <c r="C34" s="6"/>
    </row>
    <row r="35" customFormat="false" ht="15" hidden="false" customHeight="true" outlineLevel="0" collapsed="false">
      <c r="A35" s="4" t="s">
        <v>31</v>
      </c>
      <c r="B35" s="5" t="n">
        <f aca="false">COUNTIF('Country coverage'!$G$2:$G$43,"Multi-country only")</f>
        <v>19</v>
      </c>
      <c r="C35" s="6"/>
    </row>
    <row r="37" customFormat="false" ht="15" hidden="false" customHeight="true" outlineLevel="0" collapsed="false">
      <c r="A37" s="3" t="s">
        <v>32</v>
      </c>
    </row>
    <row r="38" customFormat="false" ht="15" hidden="false" customHeight="true" outlineLevel="0" collapsed="false">
      <c r="A38" s="5" t="s">
        <v>33</v>
      </c>
      <c r="C38" s="7" t="s">
        <v>34</v>
      </c>
    </row>
    <row r="39" customFormat="false" ht="15" hidden="false" customHeight="true" outlineLevel="0" collapsed="false">
      <c r="A39" s="5" t="s">
        <v>35</v>
      </c>
      <c r="C39" s="7" t="s">
        <v>36</v>
      </c>
    </row>
    <row r="40" customFormat="false" ht="34.5" hidden="false" customHeight="true" outlineLevel="0" collapsed="false">
      <c r="A40" s="5" t="s">
        <v>37</v>
      </c>
      <c r="C40" s="7" t="s">
        <v>38</v>
      </c>
    </row>
    <row r="41" customFormat="false" ht="23.25" hidden="false" customHeight="true" outlineLevel="0" collapsed="false">
      <c r="A41" s="5" t="s">
        <v>39</v>
      </c>
      <c r="C41" s="7" t="s">
        <v>40</v>
      </c>
    </row>
    <row r="42" customFormat="false" ht="34.5" hidden="false" customHeight="true" outlineLevel="0" collapsed="false">
      <c r="A42" s="5" t="s">
        <v>41</v>
      </c>
      <c r="C42" s="7" t="s">
        <v>42</v>
      </c>
    </row>
    <row r="43" customFormat="false" ht="23.25" hidden="false" customHeight="true" outlineLevel="0" collapsed="false">
      <c r="A43" s="5" t="s">
        <v>43</v>
      </c>
      <c r="C43" s="7" t="s">
        <v>44</v>
      </c>
    </row>
    <row r="44" customFormat="false" ht="23.25" hidden="false" customHeight="true" outlineLevel="0" collapsed="false">
      <c r="A44" s="5" t="s">
        <v>45</v>
      </c>
      <c r="C44" s="7" t="s">
        <v>46</v>
      </c>
    </row>
    <row r="45" customFormat="false" ht="15" hidden="false" customHeight="true" outlineLevel="0" collapsed="false">
      <c r="A45" s="5" t="s">
        <v>47</v>
      </c>
      <c r="C45" s="7"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E81" activeCellId="0" sqref="E81"/>
    </sheetView>
  </sheetViews>
  <sheetFormatPr defaultColWidth="8.66796875" defaultRowHeight="14.25" zeroHeight="false" outlineLevelRow="0" outlineLevelCol="0"/>
  <cols>
    <col collapsed="false" customWidth="true" hidden="false" outlineLevel="0" max="1" min="1" style="1" width="22"/>
    <col collapsed="false" customWidth="true" hidden="false" outlineLevel="0" max="2" min="2" style="1" width="32"/>
    <col collapsed="false" customWidth="true" hidden="false" outlineLevel="0" max="3" min="3" style="1" width="7"/>
    <col collapsed="false" customWidth="true" hidden="false" outlineLevel="0" max="5" min="4" style="1" width="20"/>
    <col collapsed="false" customWidth="true" hidden="false" outlineLevel="0" max="6" min="6" style="1" width="12"/>
    <col collapsed="false" customWidth="true" hidden="false" outlineLevel="0" max="7" min="7" style="1" width="20"/>
    <col collapsed="false" customWidth="true" hidden="false" outlineLevel="0" max="8" min="8" style="1" width="14"/>
    <col collapsed="false" customWidth="true" hidden="false" outlineLevel="0" max="9" min="9" style="1" width="10"/>
    <col collapsed="false" customWidth="true" hidden="false" outlineLevel="0" max="10" min="10" style="1" width="28"/>
    <col collapsed="false" customWidth="true" hidden="false" outlineLevel="0" max="11" min="11" style="1" width="22"/>
    <col collapsed="false" customWidth="true" hidden="false" outlineLevel="0" max="12" min="12" style="1" width="14"/>
    <col collapsed="false" customWidth="true" hidden="false" outlineLevel="0" max="13" min="13" style="1" width="16"/>
    <col collapsed="false" customWidth="true" hidden="false" outlineLevel="0" max="14" min="14" style="1" width="14"/>
    <col collapsed="false" customWidth="true" hidden="false" outlineLevel="0" max="16" min="15" style="1" width="16"/>
    <col collapsed="false" customWidth="true" hidden="false" outlineLevel="0" max="17" min="17" style="1" width="14"/>
    <col collapsed="false" customWidth="true" hidden="false" outlineLevel="0" max="19" min="18" style="1" width="16"/>
    <col collapsed="false" customWidth="true" hidden="false" outlineLevel="0" max="20" min="20" style="1" width="18"/>
    <col collapsed="false" customWidth="true" hidden="false" outlineLevel="0" max="21" min="21" style="1" width="16"/>
    <col collapsed="false" customWidth="true" hidden="false" outlineLevel="0" max="22" min="22" style="1" width="18"/>
    <col collapsed="false" customWidth="true" hidden="false" outlineLevel="0" max="26" min="23" style="1" width="16"/>
    <col collapsed="false" customWidth="true" hidden="false" outlineLevel="0" max="27" min="27" style="1" width="14"/>
    <col collapsed="false" customWidth="true" hidden="false" outlineLevel="0" max="29" min="28" style="1" width="16"/>
    <col collapsed="false" customWidth="true" hidden="false" outlineLevel="0" max="30" min="30" style="1" width="14"/>
    <col collapsed="false" customWidth="true" hidden="false" outlineLevel="0" max="32" min="31" style="1" width="18"/>
    <col collapsed="false" customWidth="true" hidden="false" outlineLevel="0" max="33" min="33" style="1" width="20"/>
    <col collapsed="false" customWidth="true" hidden="false" outlineLevel="0" max="34" min="34" style="1" width="18"/>
    <col collapsed="false" customWidth="true" hidden="false" outlineLevel="0" max="35" min="35" style="1" width="20"/>
    <col collapsed="false" customWidth="true" hidden="false" outlineLevel="0" max="36" min="36" style="1" width="28"/>
    <col collapsed="false" customWidth="true" hidden="false" outlineLevel="0" max="38" min="37" style="1" width="11"/>
    <col collapsed="false" customWidth="true" hidden="false" outlineLevel="0" max="39" min="39" style="1" width="12"/>
    <col collapsed="false" customWidth="true" hidden="false" outlineLevel="0" max="40" min="40" style="1" width="10"/>
    <col collapsed="false" customWidth="true" hidden="false" outlineLevel="0" max="41" min="41" style="1" width="14"/>
    <col collapsed="false" customWidth="true" hidden="false" outlineLevel="0" max="42" min="42" style="1" width="48"/>
    <col collapsed="false" customWidth="true" hidden="false" outlineLevel="0" max="43" min="43" style="1" width="15"/>
    <col collapsed="false" customWidth="true" hidden="false" outlineLevel="0" max="45" min="44" style="1" width="16"/>
    <col collapsed="false" customWidth="true" hidden="false" outlineLevel="0" max="46" min="46" style="1" width="36"/>
  </cols>
  <sheetData>
    <row r="1" customFormat="false" ht="23.25" hidden="false" customHeight="true" outlineLevel="0" collapsed="false">
      <c r="A1" s="8" t="s">
        <v>49</v>
      </c>
      <c r="B1" s="8" t="s">
        <v>50</v>
      </c>
      <c r="C1" s="8" t="s">
        <v>51</v>
      </c>
      <c r="D1" s="8" t="s">
        <v>52</v>
      </c>
      <c r="E1" s="8" t="s">
        <v>53</v>
      </c>
      <c r="F1" s="8" t="s">
        <v>54</v>
      </c>
      <c r="G1" s="8" t="s">
        <v>55</v>
      </c>
      <c r="H1" s="8" t="s">
        <v>56</v>
      </c>
      <c r="I1" s="8" t="s">
        <v>57</v>
      </c>
      <c r="J1" s="8" t="s">
        <v>58</v>
      </c>
      <c r="K1" s="8" t="s">
        <v>59</v>
      </c>
      <c r="L1" s="8" t="s">
        <v>60</v>
      </c>
      <c r="M1" s="8" t="s">
        <v>61</v>
      </c>
      <c r="N1" s="8" t="s">
        <v>62</v>
      </c>
      <c r="O1" s="8" t="s">
        <v>63</v>
      </c>
      <c r="P1" s="8" t="s">
        <v>64</v>
      </c>
      <c r="Q1" s="8" t="s">
        <v>65</v>
      </c>
      <c r="R1" s="8" t="s">
        <v>66</v>
      </c>
      <c r="S1" s="8" t="s">
        <v>67</v>
      </c>
      <c r="T1" s="8" t="s">
        <v>68</v>
      </c>
      <c r="U1" s="8" t="s">
        <v>69</v>
      </c>
      <c r="V1" s="8" t="s">
        <v>70</v>
      </c>
      <c r="W1" s="8" t="s">
        <v>71</v>
      </c>
      <c r="X1" s="8" t="s">
        <v>72</v>
      </c>
      <c r="Y1" s="8" t="s">
        <v>73</v>
      </c>
      <c r="Z1" s="8" t="s">
        <v>74</v>
      </c>
      <c r="AA1" s="8" t="s">
        <v>75</v>
      </c>
      <c r="AB1" s="8" t="s">
        <v>76</v>
      </c>
      <c r="AC1" s="8" t="s">
        <v>77</v>
      </c>
      <c r="AD1" s="8" t="s">
        <v>78</v>
      </c>
      <c r="AE1" s="8" t="s">
        <v>79</v>
      </c>
      <c r="AF1" s="8" t="s">
        <v>80</v>
      </c>
      <c r="AG1" s="8" t="s">
        <v>81</v>
      </c>
      <c r="AH1" s="8" t="s">
        <v>82</v>
      </c>
      <c r="AI1" s="8" t="s">
        <v>83</v>
      </c>
      <c r="AJ1" s="8" t="s">
        <v>84</v>
      </c>
      <c r="AK1" s="9" t="s">
        <v>33</v>
      </c>
      <c r="AL1" s="9" t="s">
        <v>35</v>
      </c>
      <c r="AM1" s="9" t="s">
        <v>37</v>
      </c>
      <c r="AN1" s="9" t="s">
        <v>85</v>
      </c>
      <c r="AO1" s="9" t="s">
        <v>86</v>
      </c>
      <c r="AP1" s="9" t="s">
        <v>87</v>
      </c>
      <c r="AQ1" s="9" t="s">
        <v>41</v>
      </c>
      <c r="AR1" s="9" t="s">
        <v>88</v>
      </c>
      <c r="AS1" s="9" t="s">
        <v>89</v>
      </c>
      <c r="AT1" s="9" t="s">
        <v>90</v>
      </c>
    </row>
    <row r="2" customFormat="false" ht="79.5" hidden="false" customHeight="true" outlineLevel="0" collapsed="false">
      <c r="A2" s="7" t="s">
        <v>91</v>
      </c>
      <c r="B2" s="7" t="s">
        <v>92</v>
      </c>
      <c r="C2" s="7" t="s">
        <v>93</v>
      </c>
      <c r="D2" s="7" t="s">
        <v>94</v>
      </c>
      <c r="E2" s="7" t="s">
        <v>95</v>
      </c>
      <c r="F2" s="7" t="s">
        <v>95</v>
      </c>
      <c r="G2" s="7" t="s">
        <v>95</v>
      </c>
      <c r="H2" s="7" t="s">
        <v>95</v>
      </c>
      <c r="I2" s="7" t="s">
        <v>95</v>
      </c>
      <c r="J2" s="7" t="s">
        <v>95</v>
      </c>
      <c r="K2" s="7" t="s">
        <v>95</v>
      </c>
      <c r="L2" s="7" t="s">
        <v>96</v>
      </c>
      <c r="M2" s="7" t="s">
        <v>97</v>
      </c>
      <c r="N2" s="7" t="s">
        <v>98</v>
      </c>
      <c r="O2" s="7" t="s">
        <v>99</v>
      </c>
      <c r="P2" s="7" t="s">
        <v>100</v>
      </c>
      <c r="Q2" s="7" t="s">
        <v>101</v>
      </c>
      <c r="R2" s="7" t="s">
        <v>102</v>
      </c>
      <c r="S2" s="7" t="s">
        <v>103</v>
      </c>
      <c r="T2" s="7" t="s">
        <v>104</v>
      </c>
      <c r="U2" s="7" t="s">
        <v>105</v>
      </c>
      <c r="V2" s="7" t="s">
        <v>106</v>
      </c>
      <c r="W2" s="7" t="s">
        <v>106</v>
      </c>
      <c r="X2" s="7" t="s">
        <v>107</v>
      </c>
      <c r="Y2" s="7" t="s">
        <v>108</v>
      </c>
      <c r="Z2" s="7" t="s">
        <v>109</v>
      </c>
      <c r="AA2" s="7" t="s">
        <v>106</v>
      </c>
      <c r="AB2" s="7" t="s">
        <v>110</v>
      </c>
      <c r="AC2" s="7" t="s">
        <v>111</v>
      </c>
      <c r="AD2" s="7" t="s">
        <v>112</v>
      </c>
      <c r="AE2" s="7" t="s">
        <v>106</v>
      </c>
      <c r="AF2" s="7" t="s">
        <v>113</v>
      </c>
      <c r="AG2" s="7" t="s">
        <v>114</v>
      </c>
      <c r="AH2" s="7" t="s">
        <v>115</v>
      </c>
      <c r="AI2" s="7" t="s">
        <v>116</v>
      </c>
      <c r="AJ2" s="7" t="s">
        <v>117</v>
      </c>
      <c r="AK2" s="10" t="s">
        <v>118</v>
      </c>
      <c r="AL2" s="10" t="s">
        <v>118</v>
      </c>
      <c r="AM2" s="10" t="s">
        <v>118</v>
      </c>
      <c r="AN2" s="10"/>
      <c r="AO2" s="7" t="str">
        <f aca="false">IF(AN2&lt;&gt;"","Exclude (duplicate)",IF(OR(AK2="Check",AL2="Check",AM2="Check"),"Check",IF(AND(AK2="Yes",AL2="Yes",AM2="Yes"),"Include","Exclude")))</f>
        <v>Include</v>
      </c>
      <c r="AP2" s="10"/>
      <c r="AQ2" s="10" t="s">
        <v>119</v>
      </c>
      <c r="AR2" s="10" t="s">
        <v>120</v>
      </c>
      <c r="AS2" s="10"/>
      <c r="AT2" s="7" t="str">
        <f aca="false">IF(AR2="","",IFERROR(INDEX(Libraries!$B:$B,MATCH(AR2,Libraries!$A:$A,0)),"ID not found"))</f>
        <v>Laboratory-synthesised cropland SSL (India)</v>
      </c>
    </row>
    <row r="3" customFormat="false" ht="79.5" hidden="false" customHeight="true" outlineLevel="0" collapsed="false">
      <c r="A3" s="7" t="s">
        <v>121</v>
      </c>
      <c r="B3" s="7" t="s">
        <v>122</v>
      </c>
      <c r="C3" s="7" t="s">
        <v>123</v>
      </c>
      <c r="D3" s="7" t="s">
        <v>124</v>
      </c>
      <c r="E3" s="7" t="s">
        <v>95</v>
      </c>
      <c r="F3" s="7" t="s">
        <v>95</v>
      </c>
      <c r="G3" s="7" t="s">
        <v>125</v>
      </c>
      <c r="H3" s="7" t="s">
        <v>126</v>
      </c>
      <c r="I3" s="7" t="s">
        <v>95</v>
      </c>
      <c r="J3" s="7" t="s">
        <v>95</v>
      </c>
      <c r="K3" s="7" t="s">
        <v>95</v>
      </c>
      <c r="L3" s="7"/>
      <c r="M3" s="7"/>
      <c r="N3" s="7"/>
      <c r="O3" s="7"/>
      <c r="P3" s="7"/>
      <c r="Q3" s="7"/>
      <c r="R3" s="7"/>
      <c r="S3" s="7"/>
      <c r="T3" s="7"/>
      <c r="U3" s="7"/>
      <c r="V3" s="7"/>
      <c r="W3" s="7"/>
      <c r="X3" s="7"/>
      <c r="Y3" s="7"/>
      <c r="Z3" s="7"/>
      <c r="AA3" s="7"/>
      <c r="AB3" s="7"/>
      <c r="AC3" s="7"/>
      <c r="AD3" s="7"/>
      <c r="AE3" s="7"/>
      <c r="AF3" s="7"/>
      <c r="AG3" s="7"/>
      <c r="AH3" s="7"/>
      <c r="AI3" s="7"/>
      <c r="AJ3" s="7"/>
      <c r="AK3" s="10" t="s">
        <v>118</v>
      </c>
      <c r="AL3" s="10" t="s">
        <v>118</v>
      </c>
      <c r="AM3" s="10" t="s">
        <v>118</v>
      </c>
      <c r="AN3" s="10"/>
      <c r="AO3" s="7" t="str">
        <f aca="false">IF(AN3&lt;&gt;"","Exclude (duplicate)",IF(OR(AK3="Check",AL3="Check",AM3="Check"),"Check",IF(AND(AK3="Yes",AL3="Yes",AM3="Yes"),"Include","Exclude")))</f>
        <v>Include</v>
      </c>
      <c r="AP3" s="10" t="s">
        <v>127</v>
      </c>
      <c r="AQ3" s="10" t="s">
        <v>128</v>
      </c>
      <c r="AR3" s="10" t="s">
        <v>129</v>
      </c>
      <c r="AS3" s="10"/>
      <c r="AT3" s="7" t="str">
        <f aca="false">IF(AR3="","",IFERROR(INDEX(Libraries!$B:$B,MATCH(AR3,Libraries!$A:$A,0)),"ID not found"))</f>
        <v>USDA NSSC-KSSL vis-NIR library</v>
      </c>
    </row>
    <row r="4" customFormat="false" ht="90.75" hidden="false" customHeight="true" outlineLevel="0" collapsed="false">
      <c r="A4" s="7" t="s">
        <v>130</v>
      </c>
      <c r="B4" s="7" t="s">
        <v>131</v>
      </c>
      <c r="C4" s="7" t="s">
        <v>132</v>
      </c>
      <c r="D4" s="7" t="s">
        <v>133</v>
      </c>
      <c r="E4" s="7" t="s">
        <v>95</v>
      </c>
      <c r="F4" s="7" t="s">
        <v>23</v>
      </c>
      <c r="G4" s="7" t="s">
        <v>134</v>
      </c>
      <c r="H4" s="7" t="s">
        <v>135</v>
      </c>
      <c r="I4" s="7" t="s">
        <v>95</v>
      </c>
      <c r="J4" s="7" t="s">
        <v>95</v>
      </c>
      <c r="K4" s="7" t="s">
        <v>95</v>
      </c>
      <c r="L4" s="7"/>
      <c r="M4" s="7"/>
      <c r="N4" s="7"/>
      <c r="O4" s="7"/>
      <c r="P4" s="7"/>
      <c r="Q4" s="7"/>
      <c r="R4" s="7"/>
      <c r="S4" s="7"/>
      <c r="T4" s="7"/>
      <c r="U4" s="7"/>
      <c r="V4" s="7"/>
      <c r="W4" s="7"/>
      <c r="X4" s="7"/>
      <c r="Y4" s="7"/>
      <c r="Z4" s="7"/>
      <c r="AA4" s="7"/>
      <c r="AB4" s="7"/>
      <c r="AC4" s="7"/>
      <c r="AD4" s="7"/>
      <c r="AE4" s="7"/>
      <c r="AF4" s="7"/>
      <c r="AG4" s="7"/>
      <c r="AH4" s="7"/>
      <c r="AI4" s="7"/>
      <c r="AJ4" s="7"/>
      <c r="AK4" s="10" t="s">
        <v>118</v>
      </c>
      <c r="AL4" s="10" t="s">
        <v>118</v>
      </c>
      <c r="AM4" s="10" t="s">
        <v>118</v>
      </c>
      <c r="AN4" s="10"/>
      <c r="AO4" s="7" t="str">
        <f aca="false">IF(AN4&lt;&gt;"","Exclude (duplicate)",IF(OR(AK4="Check",AL4="Check",AM4="Check"),"Check",IF(AND(AK4="Yes",AL4="Yes",AM4="Yes"),"Include","Exclude")))</f>
        <v>Include</v>
      </c>
      <c r="AP4" s="10"/>
      <c r="AQ4" s="10" t="s">
        <v>119</v>
      </c>
      <c r="AR4" s="10" t="s">
        <v>136</v>
      </c>
      <c r="AS4" s="10"/>
      <c r="AT4" s="7" t="str">
        <f aca="false">IF(AR4="","",IFERROR(INDEX(Libraries!$B:$B,MATCH(AR4,Libraries!$A:$A,0)),"ID not found"))</f>
        <v>French RMQS NIR/MIR national library</v>
      </c>
    </row>
    <row r="5" customFormat="false" ht="57" hidden="false" customHeight="true" outlineLevel="0" collapsed="false">
      <c r="A5" s="7" t="s">
        <v>137</v>
      </c>
      <c r="B5" s="7" t="s">
        <v>138</v>
      </c>
      <c r="C5" s="7" t="s">
        <v>139</v>
      </c>
      <c r="D5" s="7" t="s">
        <v>140</v>
      </c>
      <c r="E5" s="7" t="s">
        <v>141</v>
      </c>
      <c r="F5" s="7" t="s">
        <v>23</v>
      </c>
      <c r="G5" s="7" t="s">
        <v>142</v>
      </c>
      <c r="H5" s="7" t="s">
        <v>143</v>
      </c>
      <c r="I5" s="7" t="s">
        <v>144</v>
      </c>
      <c r="J5" s="7" t="s">
        <v>145</v>
      </c>
      <c r="K5" s="7" t="s">
        <v>146</v>
      </c>
      <c r="L5" s="7"/>
      <c r="M5" s="7"/>
      <c r="N5" s="7"/>
      <c r="O5" s="7"/>
      <c r="P5" s="7"/>
      <c r="Q5" s="7"/>
      <c r="R5" s="7"/>
      <c r="S5" s="7"/>
      <c r="T5" s="7"/>
      <c r="U5" s="7"/>
      <c r="V5" s="7"/>
      <c r="W5" s="7"/>
      <c r="X5" s="7"/>
      <c r="Y5" s="7"/>
      <c r="Z5" s="7"/>
      <c r="AA5" s="7"/>
      <c r="AB5" s="7"/>
      <c r="AC5" s="7"/>
      <c r="AD5" s="7"/>
      <c r="AE5" s="7"/>
      <c r="AF5" s="7"/>
      <c r="AG5" s="7"/>
      <c r="AH5" s="7"/>
      <c r="AI5" s="7"/>
      <c r="AJ5" s="7"/>
      <c r="AK5" s="10" t="s">
        <v>118</v>
      </c>
      <c r="AL5" s="10" t="s">
        <v>118</v>
      </c>
      <c r="AM5" s="10" t="s">
        <v>118</v>
      </c>
      <c r="AN5" s="10"/>
      <c r="AO5" s="7" t="str">
        <f aca="false">IF(AN5&lt;&gt;"","Exclude (duplicate)",IF(OR(AK5="Check",AL5="Check",AM5="Check"),"Check",IF(AND(AK5="Yes",AL5="Yes",AM5="Yes"),"Include","Exclude")))</f>
        <v>Include</v>
      </c>
      <c r="AP5" s="10"/>
      <c r="AQ5" s="10" t="s">
        <v>128</v>
      </c>
      <c r="AR5" s="10" t="s">
        <v>147</v>
      </c>
      <c r="AS5" s="10"/>
      <c r="AT5" s="7" t="str">
        <f aca="false">IF(AR5="","",IFERROR(INDEX(Libraries!$B:$B,MATCH(AR5,Libraries!$A:$A,0)),"ID not found"))</f>
        <v>Brazilian Soil Spectral Library (BSSL, vis-NIR-SWIR)</v>
      </c>
    </row>
    <row r="6" customFormat="false" ht="45.75" hidden="false" customHeight="true" outlineLevel="0" collapsed="false">
      <c r="A6" s="7" t="s">
        <v>148</v>
      </c>
      <c r="B6" s="7" t="s">
        <v>149</v>
      </c>
      <c r="C6" s="7" t="s">
        <v>139</v>
      </c>
      <c r="D6" s="7" t="s">
        <v>150</v>
      </c>
      <c r="E6" s="7" t="s">
        <v>151</v>
      </c>
      <c r="F6" s="7" t="s">
        <v>152</v>
      </c>
      <c r="G6" s="7" t="s">
        <v>142</v>
      </c>
      <c r="H6" s="7" t="s">
        <v>143</v>
      </c>
      <c r="I6" s="7" t="s">
        <v>153</v>
      </c>
      <c r="J6" s="7" t="s">
        <v>154</v>
      </c>
      <c r="K6" s="7" t="s">
        <v>155</v>
      </c>
      <c r="L6" s="7" t="s">
        <v>106</v>
      </c>
      <c r="M6" s="7" t="s">
        <v>156</v>
      </c>
      <c r="N6" s="7" t="s">
        <v>157</v>
      </c>
      <c r="O6" s="7" t="s">
        <v>158</v>
      </c>
      <c r="P6" s="7" t="s">
        <v>159</v>
      </c>
      <c r="Q6" s="7" t="s">
        <v>106</v>
      </c>
      <c r="R6" s="7" t="s">
        <v>160</v>
      </c>
      <c r="S6" s="7" t="s">
        <v>161</v>
      </c>
      <c r="T6" s="7" t="s">
        <v>162</v>
      </c>
      <c r="U6" s="7" t="s">
        <v>163</v>
      </c>
      <c r="V6" s="7" t="s">
        <v>106</v>
      </c>
      <c r="W6" s="7" t="s">
        <v>164</v>
      </c>
      <c r="X6" s="7" t="s">
        <v>165</v>
      </c>
      <c r="Y6" s="7" t="s">
        <v>166</v>
      </c>
      <c r="Z6" s="7" t="s">
        <v>167</v>
      </c>
      <c r="AA6" s="7" t="s">
        <v>168</v>
      </c>
      <c r="AB6" s="7" t="s">
        <v>169</v>
      </c>
      <c r="AC6" s="7" t="s">
        <v>170</v>
      </c>
      <c r="AD6" s="7" t="s">
        <v>112</v>
      </c>
      <c r="AE6" s="7" t="s">
        <v>171</v>
      </c>
      <c r="AF6" s="7" t="s">
        <v>172</v>
      </c>
      <c r="AG6" s="7" t="s">
        <v>173</v>
      </c>
      <c r="AH6" s="7" t="s">
        <v>174</v>
      </c>
      <c r="AI6" s="7" t="s">
        <v>175</v>
      </c>
      <c r="AJ6" s="7" t="s">
        <v>176</v>
      </c>
      <c r="AK6" s="10" t="s">
        <v>118</v>
      </c>
      <c r="AL6" s="10" t="s">
        <v>118</v>
      </c>
      <c r="AM6" s="10" t="s">
        <v>118</v>
      </c>
      <c r="AN6" s="10"/>
      <c r="AO6" s="7" t="str">
        <f aca="false">IF(AN6&lt;&gt;"","Exclude (duplicate)",IF(OR(AK6="Check",AL6="Check",AM6="Check"),"Check",IF(AND(AK6="Yes",AL6="Yes",AM6="Yes"),"Include","Exclude")))</f>
        <v>Include</v>
      </c>
      <c r="AP6" s="10"/>
      <c r="AQ6" s="10" t="s">
        <v>128</v>
      </c>
      <c r="AR6" s="10" t="s">
        <v>147</v>
      </c>
      <c r="AS6" s="10"/>
      <c r="AT6" s="7" t="str">
        <f aca="false">IF(AR6="","",IFERROR(INDEX(Libraries!$B:$B,MATCH(AR6,Libraries!$A:$A,0)),"ID not found"))</f>
        <v>Brazilian Soil Spectral Library (BSSL, vis-NIR-SWIR)</v>
      </c>
    </row>
    <row r="7" customFormat="false" ht="57" hidden="false" customHeight="true" outlineLevel="0" collapsed="false">
      <c r="A7" s="7" t="s">
        <v>177</v>
      </c>
      <c r="B7" s="11" t="s">
        <v>178</v>
      </c>
      <c r="C7" s="7" t="s">
        <v>139</v>
      </c>
      <c r="D7" s="7" t="s">
        <v>179</v>
      </c>
      <c r="E7" s="11" t="s">
        <v>180</v>
      </c>
      <c r="F7" s="7" t="s">
        <v>181</v>
      </c>
      <c r="G7" s="7" t="s">
        <v>182</v>
      </c>
      <c r="H7" s="7" t="s">
        <v>135</v>
      </c>
      <c r="I7" s="7" t="s">
        <v>183</v>
      </c>
      <c r="J7" s="7" t="s">
        <v>184</v>
      </c>
      <c r="K7" s="7" t="s">
        <v>185</v>
      </c>
      <c r="L7" s="7" t="s">
        <v>186</v>
      </c>
      <c r="M7" s="7" t="s">
        <v>187</v>
      </c>
      <c r="N7" s="7" t="s">
        <v>188</v>
      </c>
      <c r="O7" s="7" t="s">
        <v>189</v>
      </c>
      <c r="P7" s="7" t="s">
        <v>190</v>
      </c>
      <c r="Q7" s="7" t="s">
        <v>191</v>
      </c>
      <c r="R7" s="7" t="s">
        <v>192</v>
      </c>
      <c r="S7" s="7" t="s">
        <v>193</v>
      </c>
      <c r="T7" s="7" t="s">
        <v>194</v>
      </c>
      <c r="U7" s="7" t="s">
        <v>195</v>
      </c>
      <c r="V7" s="7" t="s">
        <v>196</v>
      </c>
      <c r="W7" s="7" t="s">
        <v>197</v>
      </c>
      <c r="X7" s="7" t="s">
        <v>198</v>
      </c>
      <c r="Y7" s="7" t="s">
        <v>199</v>
      </c>
      <c r="Z7" s="7" t="s">
        <v>200</v>
      </c>
      <c r="AA7" s="7" t="s">
        <v>201</v>
      </c>
      <c r="AB7" s="7" t="s">
        <v>202</v>
      </c>
      <c r="AC7" s="7" t="s">
        <v>203</v>
      </c>
      <c r="AD7" s="7" t="s">
        <v>112</v>
      </c>
      <c r="AE7" s="7" t="s">
        <v>204</v>
      </c>
      <c r="AF7" s="7" t="s">
        <v>205</v>
      </c>
      <c r="AG7" s="7" t="s">
        <v>206</v>
      </c>
      <c r="AH7" s="7" t="s">
        <v>207</v>
      </c>
      <c r="AI7" s="7" t="s">
        <v>208</v>
      </c>
      <c r="AJ7" s="7" t="s">
        <v>209</v>
      </c>
      <c r="AK7" s="10" t="s">
        <v>118</v>
      </c>
      <c r="AL7" s="10" t="s">
        <v>118</v>
      </c>
      <c r="AM7" s="10" t="s">
        <v>118</v>
      </c>
      <c r="AN7" s="10"/>
      <c r="AO7" s="7" t="str">
        <f aca="false">IF(AN7&lt;&gt;"","Exclude (duplicate)",IF(OR(AK7="Check",AL7="Check",AM7="Check"),"Check",IF(AND(AK7="Yes",AL7="Yes",AM7="Yes"),"Include","Exclude")))</f>
        <v>Include</v>
      </c>
      <c r="AP7" s="10"/>
      <c r="AQ7" s="10" t="s">
        <v>119</v>
      </c>
      <c r="AR7" s="10" t="s">
        <v>210</v>
      </c>
      <c r="AS7" s="10"/>
      <c r="AT7" s="7" t="str">
        <f aca="false">IF(AR7="","",IFERROR(INDEX(Libraries!$B:$B,MATCH(AR7,Libraries!$A:$A,0)),"ID not found"))</f>
        <v>LUCAS-based MIR library (BE/LU/DE/NL)</v>
      </c>
    </row>
    <row r="8" customFormat="false" ht="45.75" hidden="false" customHeight="true" outlineLevel="0" collapsed="false">
      <c r="A8" s="7" t="s">
        <v>211</v>
      </c>
      <c r="B8" s="7" t="s">
        <v>212</v>
      </c>
      <c r="C8" s="7" t="s">
        <v>213</v>
      </c>
      <c r="D8" s="7" t="s">
        <v>214</v>
      </c>
      <c r="E8" s="7" t="s">
        <v>95</v>
      </c>
      <c r="F8" s="7" t="s">
        <v>215</v>
      </c>
      <c r="G8" s="7" t="s">
        <v>216</v>
      </c>
      <c r="H8" s="7" t="s">
        <v>126</v>
      </c>
      <c r="I8" s="7" t="s">
        <v>217</v>
      </c>
      <c r="J8" s="7" t="s">
        <v>218</v>
      </c>
      <c r="K8" s="7" t="s">
        <v>219</v>
      </c>
      <c r="L8" s="7"/>
      <c r="M8" s="7"/>
      <c r="N8" s="7"/>
      <c r="O8" s="7"/>
      <c r="P8" s="7"/>
      <c r="Q8" s="7"/>
      <c r="R8" s="7"/>
      <c r="S8" s="7"/>
      <c r="T8" s="7"/>
      <c r="U8" s="7"/>
      <c r="V8" s="7"/>
      <c r="W8" s="7"/>
      <c r="X8" s="7"/>
      <c r="Y8" s="7"/>
      <c r="Z8" s="7"/>
      <c r="AA8" s="7"/>
      <c r="AB8" s="7"/>
      <c r="AC8" s="7"/>
      <c r="AD8" s="7"/>
      <c r="AE8" s="7"/>
      <c r="AF8" s="7"/>
      <c r="AG8" s="7"/>
      <c r="AH8" s="7"/>
      <c r="AI8" s="7"/>
      <c r="AJ8" s="7"/>
      <c r="AK8" s="10" t="s">
        <v>118</v>
      </c>
      <c r="AL8" s="10" t="s">
        <v>118</v>
      </c>
      <c r="AM8" s="10" t="s">
        <v>220</v>
      </c>
      <c r="AN8" s="10"/>
      <c r="AO8" s="7" t="str">
        <f aca="false">IF(AN8&lt;&gt;"","Exclude (duplicate)",IF(OR(AK8="Check",AL8="Check",AM8="Check"),"Check",IF(AND(AK8="Yes",AL8="Yes",AM8="Yes"),"Include","Exclude")))</f>
        <v>Exclude</v>
      </c>
      <c r="AP8" s="10" t="s">
        <v>221</v>
      </c>
      <c r="AQ8" s="10" t="s">
        <v>222</v>
      </c>
      <c r="AR8" s="10"/>
      <c r="AS8" s="10"/>
      <c r="AT8" s="7" t="str">
        <f aca="false">IF(AR8="","",IFERROR(INDEX(Libraries!$B:$B,MATCH(AR8,Libraries!$A:$A,0)),"ID not found"))</f>
        <v/>
      </c>
    </row>
    <row r="9" customFormat="false" ht="79.5" hidden="false" customHeight="true" outlineLevel="0" collapsed="false">
      <c r="A9" s="7" t="s">
        <v>223</v>
      </c>
      <c r="B9" s="7" t="s">
        <v>224</v>
      </c>
      <c r="C9" s="7" t="s">
        <v>225</v>
      </c>
      <c r="D9" s="7" t="s">
        <v>226</v>
      </c>
      <c r="E9" s="7" t="s">
        <v>227</v>
      </c>
      <c r="F9" s="7" t="s">
        <v>23</v>
      </c>
      <c r="G9" s="7" t="s">
        <v>228</v>
      </c>
      <c r="H9" s="7" t="s">
        <v>229</v>
      </c>
      <c r="I9" s="7" t="s">
        <v>230</v>
      </c>
      <c r="J9" s="7" t="s">
        <v>231</v>
      </c>
      <c r="K9" s="7" t="s">
        <v>232</v>
      </c>
      <c r="L9" s="7" t="s">
        <v>233</v>
      </c>
      <c r="M9" s="7" t="s">
        <v>234</v>
      </c>
      <c r="N9" s="7" t="s">
        <v>235</v>
      </c>
      <c r="O9" s="7" t="s">
        <v>236</v>
      </c>
      <c r="P9" s="7" t="s">
        <v>237</v>
      </c>
      <c r="Q9" s="7" t="s">
        <v>106</v>
      </c>
      <c r="R9" s="7" t="s">
        <v>238</v>
      </c>
      <c r="S9" s="7" t="s">
        <v>193</v>
      </c>
      <c r="T9" s="7" t="s">
        <v>239</v>
      </c>
      <c r="U9" s="7" t="s">
        <v>240</v>
      </c>
      <c r="V9" s="7" t="s">
        <v>106</v>
      </c>
      <c r="W9" s="7" t="s">
        <v>106</v>
      </c>
      <c r="X9" s="7" t="s">
        <v>241</v>
      </c>
      <c r="Y9" s="7" t="s">
        <v>242</v>
      </c>
      <c r="Z9" s="7" t="s">
        <v>243</v>
      </c>
      <c r="AA9" s="7" t="s">
        <v>106</v>
      </c>
      <c r="AB9" s="7" t="s">
        <v>244</v>
      </c>
      <c r="AC9" s="7" t="s">
        <v>245</v>
      </c>
      <c r="AD9" s="7" t="s">
        <v>112</v>
      </c>
      <c r="AE9" s="7" t="s">
        <v>106</v>
      </c>
      <c r="AF9" s="7" t="s">
        <v>246</v>
      </c>
      <c r="AG9" s="7" t="s">
        <v>247</v>
      </c>
      <c r="AH9" s="7" t="s">
        <v>248</v>
      </c>
      <c r="AI9" s="7" t="s">
        <v>249</v>
      </c>
      <c r="AJ9" s="7" t="s">
        <v>250</v>
      </c>
      <c r="AK9" s="10" t="s">
        <v>118</v>
      </c>
      <c r="AL9" s="10" t="s">
        <v>118</v>
      </c>
      <c r="AM9" s="10" t="s">
        <v>118</v>
      </c>
      <c r="AN9" s="10"/>
      <c r="AO9" s="7" t="str">
        <f aca="false">IF(AN9&lt;&gt;"","Exclude (duplicate)",IF(OR(AK9="Check",AL9="Check",AM9="Check"),"Check",IF(AND(AK9="Yes",AL9="Yes",AM9="Yes"),"Include","Exclude")))</f>
        <v>Include</v>
      </c>
      <c r="AP9" s="10"/>
      <c r="AQ9" s="10" t="s">
        <v>119</v>
      </c>
      <c r="AR9" s="10" t="s">
        <v>251</v>
      </c>
      <c r="AS9" s="10"/>
      <c r="AT9" s="7" t="str">
        <f aca="false">IF(AR9="","",IFERROR(INDEX(Libraries!$B:$B,MATCH(AR9,Libraries!$A:$A,0)),"ID not found"))</f>
        <v>New Zealand soil spectral library</v>
      </c>
    </row>
    <row r="10" customFormat="false" ht="57" hidden="false" customHeight="true" outlineLevel="0" collapsed="false">
      <c r="A10" s="7" t="s">
        <v>252</v>
      </c>
      <c r="B10" s="7" t="s">
        <v>253</v>
      </c>
      <c r="C10" s="7" t="s">
        <v>93</v>
      </c>
      <c r="D10" s="7" t="s">
        <v>254</v>
      </c>
      <c r="E10" s="7" t="s">
        <v>255</v>
      </c>
      <c r="F10" s="7" t="s">
        <v>215</v>
      </c>
      <c r="G10" s="7" t="s">
        <v>256</v>
      </c>
      <c r="H10" s="7" t="s">
        <v>229</v>
      </c>
      <c r="I10" s="7" t="s">
        <v>230</v>
      </c>
      <c r="J10" s="7" t="s">
        <v>257</v>
      </c>
      <c r="K10" s="7" t="s">
        <v>258</v>
      </c>
      <c r="L10" s="7"/>
      <c r="M10" s="7"/>
      <c r="N10" s="7"/>
      <c r="O10" s="7"/>
      <c r="P10" s="7"/>
      <c r="Q10" s="7"/>
      <c r="R10" s="7"/>
      <c r="S10" s="7"/>
      <c r="T10" s="7"/>
      <c r="U10" s="7"/>
      <c r="V10" s="7"/>
      <c r="W10" s="7"/>
      <c r="X10" s="7"/>
      <c r="Y10" s="7"/>
      <c r="Z10" s="7"/>
      <c r="AA10" s="7"/>
      <c r="AB10" s="7"/>
      <c r="AC10" s="7"/>
      <c r="AD10" s="7"/>
      <c r="AE10" s="7"/>
      <c r="AF10" s="7"/>
      <c r="AG10" s="7"/>
      <c r="AH10" s="7"/>
      <c r="AI10" s="7"/>
      <c r="AJ10" s="7"/>
      <c r="AK10" s="10" t="s">
        <v>118</v>
      </c>
      <c r="AL10" s="10" t="s">
        <v>118</v>
      </c>
      <c r="AM10" s="10" t="s">
        <v>118</v>
      </c>
      <c r="AN10" s="10"/>
      <c r="AO10" s="7" t="str">
        <f aca="false">IF(AN10&lt;&gt;"","Exclude (duplicate)",IF(OR(AK10="Check",AL10="Check",AM10="Check"),"Check",IF(AND(AK10="Yes",AL10="Yes",AM10="Yes"),"Include","Exclude")))</f>
        <v>Include</v>
      </c>
      <c r="AP10" s="10"/>
      <c r="AQ10" s="10" t="s">
        <v>128</v>
      </c>
      <c r="AR10" s="10" t="s">
        <v>251</v>
      </c>
      <c r="AS10" s="10"/>
      <c r="AT10" s="7" t="str">
        <f aca="false">IF(AR10="","",IFERROR(INDEX(Libraries!$B:$B,MATCH(AR10,Libraries!$A:$A,0)),"ID not found"))</f>
        <v>New Zealand soil spectral library</v>
      </c>
    </row>
    <row r="11" customFormat="false" ht="68.25" hidden="false" customHeight="true" outlineLevel="0" collapsed="false">
      <c r="A11" s="7" t="s">
        <v>259</v>
      </c>
      <c r="B11" s="7" t="s">
        <v>260</v>
      </c>
      <c r="C11" s="7" t="s">
        <v>261</v>
      </c>
      <c r="D11" s="7" t="s">
        <v>262</v>
      </c>
      <c r="E11" s="7" t="s">
        <v>95</v>
      </c>
      <c r="F11" s="7" t="s">
        <v>215</v>
      </c>
      <c r="G11" s="7" t="s">
        <v>263</v>
      </c>
      <c r="H11" s="7" t="s">
        <v>264</v>
      </c>
      <c r="I11" s="7" t="s">
        <v>265</v>
      </c>
      <c r="J11" s="7" t="s">
        <v>266</v>
      </c>
      <c r="K11" s="7" t="s">
        <v>267</v>
      </c>
      <c r="L11" s="7"/>
      <c r="M11" s="7"/>
      <c r="N11" s="7"/>
      <c r="O11" s="7"/>
      <c r="P11" s="7"/>
      <c r="Q11" s="7"/>
      <c r="R11" s="7"/>
      <c r="S11" s="7"/>
      <c r="T11" s="7"/>
      <c r="U11" s="7"/>
      <c r="V11" s="7"/>
      <c r="W11" s="7"/>
      <c r="X11" s="7"/>
      <c r="Y11" s="7"/>
      <c r="Z11" s="7"/>
      <c r="AA11" s="7"/>
      <c r="AB11" s="7"/>
      <c r="AC11" s="7"/>
      <c r="AD11" s="7"/>
      <c r="AE11" s="7"/>
      <c r="AF11" s="7"/>
      <c r="AG11" s="7"/>
      <c r="AH11" s="7"/>
      <c r="AI11" s="7"/>
      <c r="AJ11" s="7"/>
      <c r="AK11" s="10" t="s">
        <v>118</v>
      </c>
      <c r="AL11" s="10" t="s">
        <v>118</v>
      </c>
      <c r="AM11" s="10" t="s">
        <v>220</v>
      </c>
      <c r="AN11" s="10"/>
      <c r="AO11" s="7" t="str">
        <f aca="false">IF(AN11&lt;&gt;"","Exclude (duplicate)",IF(OR(AK11="Check",AL11="Check",AM11="Check"),"Check",IF(AND(AK11="Yes",AL11="Yes",AM11="Yes"),"Include","Exclude")))</f>
        <v>Exclude</v>
      </c>
      <c r="AP11" s="10" t="s">
        <v>268</v>
      </c>
      <c r="AQ11" s="10" t="s">
        <v>222</v>
      </c>
      <c r="AR11" s="10"/>
      <c r="AS11" s="10"/>
      <c r="AT11" s="7" t="str">
        <f aca="false">IF(AR11="","",IFERROR(INDEX(Libraries!$B:$B,MATCH(AR11,Libraries!$A:$A,0)),"ID not found"))</f>
        <v/>
      </c>
    </row>
    <row r="12" customFormat="false" ht="34.5" hidden="false" customHeight="true" outlineLevel="0" collapsed="false">
      <c r="A12" s="7" t="s">
        <v>269</v>
      </c>
      <c r="B12" s="7" t="s">
        <v>270</v>
      </c>
      <c r="C12" s="7" t="s">
        <v>139</v>
      </c>
      <c r="D12" s="7" t="s">
        <v>271</v>
      </c>
      <c r="E12" s="7" t="s">
        <v>95</v>
      </c>
      <c r="F12" s="7" t="s">
        <v>215</v>
      </c>
      <c r="G12" s="7" t="s">
        <v>272</v>
      </c>
      <c r="H12" s="7" t="s">
        <v>273</v>
      </c>
      <c r="I12" s="7" t="s">
        <v>274</v>
      </c>
      <c r="J12" s="7" t="s">
        <v>275</v>
      </c>
      <c r="K12" s="7" t="s">
        <v>155</v>
      </c>
      <c r="L12" s="7" t="s">
        <v>276</v>
      </c>
      <c r="M12" s="7" t="s">
        <v>277</v>
      </c>
      <c r="N12" s="7" t="s">
        <v>278</v>
      </c>
      <c r="O12" s="7" t="s">
        <v>158</v>
      </c>
      <c r="P12" s="7" t="s">
        <v>279</v>
      </c>
      <c r="Q12" s="7" t="s">
        <v>106</v>
      </c>
      <c r="R12" s="7" t="s">
        <v>280</v>
      </c>
      <c r="S12" s="7" t="s">
        <v>281</v>
      </c>
      <c r="T12" s="7" t="s">
        <v>282</v>
      </c>
      <c r="U12" s="7" t="s">
        <v>283</v>
      </c>
      <c r="V12" s="7" t="s">
        <v>106</v>
      </c>
      <c r="W12" s="7" t="s">
        <v>197</v>
      </c>
      <c r="X12" s="7" t="s">
        <v>284</v>
      </c>
      <c r="Y12" s="7" t="s">
        <v>285</v>
      </c>
      <c r="Z12" s="7" t="s">
        <v>286</v>
      </c>
      <c r="AA12" s="7" t="s">
        <v>287</v>
      </c>
      <c r="AB12" s="7" t="s">
        <v>288</v>
      </c>
      <c r="AC12" s="7" t="s">
        <v>289</v>
      </c>
      <c r="AD12" s="7" t="s">
        <v>112</v>
      </c>
      <c r="AE12" s="7" t="s">
        <v>290</v>
      </c>
      <c r="AF12" s="7" t="s">
        <v>291</v>
      </c>
      <c r="AG12" s="7" t="s">
        <v>292</v>
      </c>
      <c r="AH12" s="7" t="s">
        <v>293</v>
      </c>
      <c r="AI12" s="7" t="s">
        <v>294</v>
      </c>
      <c r="AJ12" s="7" t="s">
        <v>295</v>
      </c>
      <c r="AK12" s="10" t="s">
        <v>118</v>
      </c>
      <c r="AL12" s="10" t="s">
        <v>118</v>
      </c>
      <c r="AM12" s="10" t="s">
        <v>220</v>
      </c>
      <c r="AN12" s="10"/>
      <c r="AO12" s="7" t="str">
        <f aca="false">IF(AN12&lt;&gt;"","Exclude (duplicate)",IF(OR(AK12="Check",AL12="Check",AM12="Check"),"Check",IF(AND(AK12="Yes",AL12="Yes",AM12="Yes"),"Include","Exclude")))</f>
        <v>Exclude</v>
      </c>
      <c r="AP12" s="10" t="s">
        <v>296</v>
      </c>
      <c r="AQ12" s="10" t="s">
        <v>222</v>
      </c>
      <c r="AR12" s="10"/>
      <c r="AS12" s="10"/>
      <c r="AT12" s="7" t="str">
        <f aca="false">IF(AR12="","",IFERROR(INDEX(Libraries!$B:$B,MATCH(AR12,Libraries!$A:$A,0)),"ID not found"))</f>
        <v/>
      </c>
    </row>
    <row r="13" customFormat="false" ht="57" hidden="false" customHeight="true" outlineLevel="0" collapsed="false">
      <c r="A13" s="7" t="s">
        <v>297</v>
      </c>
      <c r="B13" s="7" t="s">
        <v>298</v>
      </c>
      <c r="C13" s="7" t="s">
        <v>123</v>
      </c>
      <c r="D13" s="7" t="s">
        <v>299</v>
      </c>
      <c r="E13" s="7" t="s">
        <v>300</v>
      </c>
      <c r="F13" s="7" t="s">
        <v>23</v>
      </c>
      <c r="G13" s="7" t="s">
        <v>301</v>
      </c>
      <c r="H13" s="7" t="s">
        <v>126</v>
      </c>
      <c r="I13" s="7" t="s">
        <v>302</v>
      </c>
      <c r="J13" s="7" t="s">
        <v>303</v>
      </c>
      <c r="K13" s="7" t="s">
        <v>304</v>
      </c>
      <c r="L13" s="7" t="s">
        <v>305</v>
      </c>
      <c r="M13" s="7" t="s">
        <v>306</v>
      </c>
      <c r="N13" s="7" t="s">
        <v>307</v>
      </c>
      <c r="O13" s="7" t="s">
        <v>308</v>
      </c>
      <c r="P13" s="7" t="s">
        <v>309</v>
      </c>
      <c r="Q13" s="7" t="s">
        <v>310</v>
      </c>
      <c r="R13" s="7" t="s">
        <v>311</v>
      </c>
      <c r="S13" s="7" t="s">
        <v>312</v>
      </c>
      <c r="T13" s="7" t="s">
        <v>313</v>
      </c>
      <c r="U13" s="7" t="s">
        <v>314</v>
      </c>
      <c r="V13" s="7" t="s">
        <v>315</v>
      </c>
      <c r="W13" s="7" t="s">
        <v>197</v>
      </c>
      <c r="X13" s="7" t="s">
        <v>316</v>
      </c>
      <c r="Y13" s="7" t="s">
        <v>317</v>
      </c>
      <c r="Z13" s="7" t="s">
        <v>318</v>
      </c>
      <c r="AA13" s="7" t="s">
        <v>319</v>
      </c>
      <c r="AB13" s="7" t="s">
        <v>320</v>
      </c>
      <c r="AC13" s="7" t="s">
        <v>321</v>
      </c>
      <c r="AD13" s="7" t="s">
        <v>112</v>
      </c>
      <c r="AE13" s="7" t="s">
        <v>322</v>
      </c>
      <c r="AF13" s="7" t="s">
        <v>323</v>
      </c>
      <c r="AG13" s="7" t="s">
        <v>324</v>
      </c>
      <c r="AH13" s="7" t="s">
        <v>325</v>
      </c>
      <c r="AI13" s="7" t="s">
        <v>326</v>
      </c>
      <c r="AJ13" s="7" t="s">
        <v>327</v>
      </c>
      <c r="AK13" s="10" t="s">
        <v>118</v>
      </c>
      <c r="AL13" s="10" t="s">
        <v>118</v>
      </c>
      <c r="AM13" s="10" t="s">
        <v>118</v>
      </c>
      <c r="AN13" s="10"/>
      <c r="AO13" s="7" t="str">
        <f aca="false">IF(AN13&lt;&gt;"","Exclude (duplicate)",IF(OR(AK13="Check",AL13="Check",AM13="Check"),"Check",IF(AND(AK13="Yes",AL13="Yes",AM13="Yes"),"Include","Exclude")))</f>
        <v>Include</v>
      </c>
      <c r="AP13" s="10" t="s">
        <v>328</v>
      </c>
      <c r="AQ13" s="10" t="s">
        <v>329</v>
      </c>
      <c r="AR13" s="10" t="s">
        <v>330</v>
      </c>
      <c r="AS13" s="10"/>
      <c r="AT13" s="7" t="str">
        <f aca="false">IF(AR13="","",IFERROR(INDEX(Libraries!$B:$B,MATCH(AR13,Libraries!$A:$A,0)),"ID not found"))</f>
        <v>Tel Aviv University legacy soil spectral library</v>
      </c>
    </row>
    <row r="14" customFormat="false" ht="34.5" hidden="false" customHeight="true" outlineLevel="0" collapsed="false">
      <c r="A14" s="7" t="s">
        <v>331</v>
      </c>
      <c r="B14" s="7" t="s">
        <v>332</v>
      </c>
      <c r="C14" s="7" t="s">
        <v>333</v>
      </c>
      <c r="D14" s="7" t="s">
        <v>334</v>
      </c>
      <c r="E14" s="7" t="s">
        <v>95</v>
      </c>
      <c r="F14" s="7" t="s">
        <v>152</v>
      </c>
      <c r="G14" s="7" t="s">
        <v>335</v>
      </c>
      <c r="H14" s="7" t="s">
        <v>126</v>
      </c>
      <c r="I14" s="7" t="s">
        <v>336</v>
      </c>
      <c r="J14" s="7" t="s">
        <v>337</v>
      </c>
      <c r="K14" s="7" t="s">
        <v>338</v>
      </c>
      <c r="L14" s="7"/>
      <c r="M14" s="7"/>
      <c r="N14" s="7"/>
      <c r="O14" s="7"/>
      <c r="P14" s="7"/>
      <c r="Q14" s="7"/>
      <c r="R14" s="7"/>
      <c r="S14" s="7"/>
      <c r="T14" s="7"/>
      <c r="U14" s="7"/>
      <c r="V14" s="7"/>
      <c r="W14" s="7"/>
      <c r="X14" s="7"/>
      <c r="Y14" s="7"/>
      <c r="Z14" s="7"/>
      <c r="AA14" s="7"/>
      <c r="AB14" s="7"/>
      <c r="AC14" s="7"/>
      <c r="AD14" s="7"/>
      <c r="AE14" s="7"/>
      <c r="AF14" s="7"/>
      <c r="AG14" s="7"/>
      <c r="AH14" s="7"/>
      <c r="AI14" s="7"/>
      <c r="AJ14" s="7"/>
      <c r="AK14" s="10" t="s">
        <v>118</v>
      </c>
      <c r="AL14" s="10" t="s">
        <v>118</v>
      </c>
      <c r="AM14" s="10" t="s">
        <v>220</v>
      </c>
      <c r="AN14" s="10"/>
      <c r="AO14" s="7" t="str">
        <f aca="false">IF(AN14&lt;&gt;"","Exclude (duplicate)",IF(OR(AK14="Check",AL14="Check",AM14="Check"),"Check",IF(AND(AK14="Yes",AL14="Yes",AM14="Yes"),"Include","Exclude")))</f>
        <v>Exclude</v>
      </c>
      <c r="AP14" s="10" t="s">
        <v>339</v>
      </c>
      <c r="AQ14" s="10" t="s">
        <v>222</v>
      </c>
      <c r="AR14" s="10"/>
      <c r="AS14" s="10"/>
      <c r="AT14" s="7" t="str">
        <f aca="false">IF(AR14="","",IFERROR(INDEX(Libraries!$B:$B,MATCH(AR14,Libraries!$A:$A,0)),"ID not found"))</f>
        <v/>
      </c>
    </row>
    <row r="15" customFormat="false" ht="90.75" hidden="false" customHeight="true" outlineLevel="0" collapsed="false">
      <c r="A15" s="7" t="s">
        <v>340</v>
      </c>
      <c r="B15" s="7" t="s">
        <v>341</v>
      </c>
      <c r="C15" s="7" t="s">
        <v>333</v>
      </c>
      <c r="D15" s="7" t="s">
        <v>342</v>
      </c>
      <c r="E15" s="7" t="s">
        <v>343</v>
      </c>
      <c r="F15" s="7" t="s">
        <v>152</v>
      </c>
      <c r="G15" s="7" t="s">
        <v>344</v>
      </c>
      <c r="H15" s="7" t="s">
        <v>264</v>
      </c>
      <c r="I15" s="7" t="s">
        <v>345</v>
      </c>
      <c r="J15" s="7" t="s">
        <v>346</v>
      </c>
      <c r="K15" s="7" t="s">
        <v>347</v>
      </c>
      <c r="L15" s="7" t="s">
        <v>348</v>
      </c>
      <c r="M15" s="7" t="s">
        <v>349</v>
      </c>
      <c r="N15" s="7" t="s">
        <v>350</v>
      </c>
      <c r="O15" s="7" t="s">
        <v>351</v>
      </c>
      <c r="P15" s="7" t="s">
        <v>352</v>
      </c>
      <c r="Q15" s="7" t="s">
        <v>106</v>
      </c>
      <c r="R15" s="7" t="s">
        <v>238</v>
      </c>
      <c r="S15" s="7" t="s">
        <v>193</v>
      </c>
      <c r="T15" s="7" t="s">
        <v>353</v>
      </c>
      <c r="U15" s="7" t="s">
        <v>354</v>
      </c>
      <c r="V15" s="7" t="s">
        <v>106</v>
      </c>
      <c r="W15" s="7" t="s">
        <v>197</v>
      </c>
      <c r="X15" s="7" t="s">
        <v>355</v>
      </c>
      <c r="Y15" s="7" t="s">
        <v>242</v>
      </c>
      <c r="Z15" s="7" t="s">
        <v>356</v>
      </c>
      <c r="AA15" s="7" t="s">
        <v>106</v>
      </c>
      <c r="AB15" s="7" t="s">
        <v>357</v>
      </c>
      <c r="AC15" s="7" t="s">
        <v>358</v>
      </c>
      <c r="AD15" s="7" t="s">
        <v>112</v>
      </c>
      <c r="AE15" s="7" t="s">
        <v>106</v>
      </c>
      <c r="AF15" s="7" t="s">
        <v>106</v>
      </c>
      <c r="AG15" s="7" t="s">
        <v>359</v>
      </c>
      <c r="AH15" s="7" t="s">
        <v>360</v>
      </c>
      <c r="AI15" s="7" t="s">
        <v>361</v>
      </c>
      <c r="AJ15" s="7" t="s">
        <v>362</v>
      </c>
      <c r="AK15" s="10" t="s">
        <v>118</v>
      </c>
      <c r="AL15" s="10" t="s">
        <v>118</v>
      </c>
      <c r="AM15" s="10" t="s">
        <v>118</v>
      </c>
      <c r="AN15" s="10"/>
      <c r="AO15" s="7" t="str">
        <f aca="false">IF(AN15&lt;&gt;"","Exclude (duplicate)",IF(OR(AK15="Check",AL15="Check",AM15="Check"),"Check",IF(AND(AK15="Yes",AL15="Yes",AM15="Yes"),"Include","Exclude")))</f>
        <v>Include</v>
      </c>
      <c r="AP15" s="10"/>
      <c r="AQ15" s="10" t="s">
        <v>119</v>
      </c>
      <c r="AR15" s="10" t="s">
        <v>363</v>
      </c>
      <c r="AS15" s="10"/>
      <c r="AT15" s="7" t="str">
        <f aca="false">IF(AR15="","",IFERROR(INDEX(Libraries!$B:$B,MATCH(AR15,Libraries!$A:$A,0)),"ID not found"))</f>
        <v>Limpopo National Park NIR library</v>
      </c>
    </row>
    <row r="16" customFormat="false" ht="45.75" hidden="false" customHeight="true" outlineLevel="0" collapsed="false">
      <c r="A16" s="7" t="s">
        <v>364</v>
      </c>
      <c r="B16" s="7" t="s">
        <v>365</v>
      </c>
      <c r="C16" s="7" t="s">
        <v>123</v>
      </c>
      <c r="D16" s="7" t="s">
        <v>366</v>
      </c>
      <c r="E16" s="11" t="s">
        <v>367</v>
      </c>
      <c r="F16" s="7" t="s">
        <v>20</v>
      </c>
      <c r="G16" s="7" t="s">
        <v>368</v>
      </c>
      <c r="H16" s="7" t="s">
        <v>369</v>
      </c>
      <c r="I16" s="7" t="s">
        <v>370</v>
      </c>
      <c r="J16" s="7" t="s">
        <v>371</v>
      </c>
      <c r="K16" s="7" t="s">
        <v>372</v>
      </c>
      <c r="L16" s="7" t="s">
        <v>373</v>
      </c>
      <c r="M16" s="7" t="s">
        <v>374</v>
      </c>
      <c r="N16" s="7" t="s">
        <v>375</v>
      </c>
      <c r="O16" s="7" t="s">
        <v>376</v>
      </c>
      <c r="P16" s="7" t="s">
        <v>377</v>
      </c>
      <c r="Q16" s="7" t="s">
        <v>378</v>
      </c>
      <c r="R16" s="7" t="s">
        <v>379</v>
      </c>
      <c r="S16" s="7" t="s">
        <v>380</v>
      </c>
      <c r="T16" s="7" t="s">
        <v>381</v>
      </c>
      <c r="U16" s="7" t="s">
        <v>382</v>
      </c>
      <c r="V16" s="7" t="s">
        <v>383</v>
      </c>
      <c r="W16" s="7" t="s">
        <v>384</v>
      </c>
      <c r="X16" s="7" t="s">
        <v>385</v>
      </c>
      <c r="Y16" s="7" t="s">
        <v>386</v>
      </c>
      <c r="Z16" s="7" t="s">
        <v>387</v>
      </c>
      <c r="AA16" s="7" t="s">
        <v>388</v>
      </c>
      <c r="AB16" s="7" t="s">
        <v>389</v>
      </c>
      <c r="AC16" s="7" t="s">
        <v>390</v>
      </c>
      <c r="AD16" s="7" t="s">
        <v>391</v>
      </c>
      <c r="AE16" s="7" t="s">
        <v>392</v>
      </c>
      <c r="AF16" s="7" t="s">
        <v>393</v>
      </c>
      <c r="AG16" s="7" t="s">
        <v>394</v>
      </c>
      <c r="AH16" s="7" t="s">
        <v>395</v>
      </c>
      <c r="AI16" s="7" t="s">
        <v>396</v>
      </c>
      <c r="AJ16" s="7" t="s">
        <v>397</v>
      </c>
      <c r="AK16" s="10" t="s">
        <v>118</v>
      </c>
      <c r="AL16" s="10" t="s">
        <v>118</v>
      </c>
      <c r="AM16" s="10" t="s">
        <v>118</v>
      </c>
      <c r="AN16" s="10"/>
      <c r="AO16" s="7" t="str">
        <f aca="false">IF(AN16&lt;&gt;"","Exclude (duplicate)",IF(OR(AK16="Check",AL16="Check",AM16="Check"),"Check",IF(AND(AK16="Yes",AL16="Yes",AM16="Yes"),"Include","Exclude")))</f>
        <v>Include</v>
      </c>
      <c r="AP16" s="10"/>
      <c r="AQ16" s="10" t="s">
        <v>119</v>
      </c>
      <c r="AR16" s="10" t="s">
        <v>398</v>
      </c>
      <c r="AS16" s="10"/>
      <c r="AT16" s="7" t="str">
        <f aca="false">IF(AR16="","",IFERROR(INDEX(Libraries!$B:$B,MATCH(AR16,Libraries!$A:$A,0)),"ID not found"))</f>
        <v>Open Soil Spectral Library (OSSL)</v>
      </c>
    </row>
    <row r="17" customFormat="false" ht="34.5" hidden="false" customHeight="true" outlineLevel="0" collapsed="false">
      <c r="A17" s="7" t="s">
        <v>399</v>
      </c>
      <c r="B17" s="7" t="s">
        <v>400</v>
      </c>
      <c r="C17" s="7" t="s">
        <v>213</v>
      </c>
      <c r="D17" s="7" t="s">
        <v>401</v>
      </c>
      <c r="E17" s="7" t="s">
        <v>402</v>
      </c>
      <c r="F17" s="7" t="s">
        <v>23</v>
      </c>
      <c r="G17" s="7" t="s">
        <v>403</v>
      </c>
      <c r="H17" s="7" t="s">
        <v>135</v>
      </c>
      <c r="I17" s="7" t="s">
        <v>404</v>
      </c>
      <c r="J17" s="7" t="s">
        <v>405</v>
      </c>
      <c r="K17" s="7" t="s">
        <v>406</v>
      </c>
      <c r="L17" s="7"/>
      <c r="M17" s="7"/>
      <c r="N17" s="7"/>
      <c r="O17" s="7"/>
      <c r="P17" s="7"/>
      <c r="Q17" s="7"/>
      <c r="R17" s="7"/>
      <c r="S17" s="7"/>
      <c r="T17" s="7"/>
      <c r="U17" s="7"/>
      <c r="V17" s="7"/>
      <c r="W17" s="7"/>
      <c r="X17" s="7"/>
      <c r="Y17" s="7"/>
      <c r="Z17" s="7"/>
      <c r="AA17" s="7"/>
      <c r="AB17" s="7"/>
      <c r="AC17" s="7"/>
      <c r="AD17" s="7"/>
      <c r="AE17" s="7"/>
      <c r="AF17" s="7"/>
      <c r="AG17" s="7"/>
      <c r="AH17" s="7"/>
      <c r="AI17" s="7"/>
      <c r="AJ17" s="7"/>
      <c r="AK17" s="10" t="s">
        <v>118</v>
      </c>
      <c r="AL17" s="10" t="s">
        <v>118</v>
      </c>
      <c r="AM17" s="10" t="s">
        <v>118</v>
      </c>
      <c r="AN17" s="10"/>
      <c r="AO17" s="7" t="str">
        <f aca="false">IF(AN17&lt;&gt;"","Exclude (duplicate)",IF(OR(AK17="Check",AL17="Check",AM17="Check"),"Check",IF(AND(AK17="Yes",AL17="Yes",AM17="Yes"),"Include","Exclude")))</f>
        <v>Include</v>
      </c>
      <c r="AP17" s="10" t="s">
        <v>407</v>
      </c>
      <c r="AQ17" s="10" t="s">
        <v>329</v>
      </c>
      <c r="AR17" s="10" t="s">
        <v>408</v>
      </c>
      <c r="AS17" s="10" t="s">
        <v>409</v>
      </c>
      <c r="AT17" s="7" t="str">
        <f aca="false">IF(AR17="","",IFERROR(INDEX(Libraries!$B:$B,MATCH(AR17,Libraries!$A:$A,0)),"ID not found"))</f>
        <v>USDA NSSC-KSSL MIR library</v>
      </c>
    </row>
    <row r="18" customFormat="false" ht="45.75" hidden="false" customHeight="true" outlineLevel="0" collapsed="false">
      <c r="A18" s="7" t="s">
        <v>410</v>
      </c>
      <c r="B18" s="7" t="s">
        <v>411</v>
      </c>
      <c r="C18" s="7" t="s">
        <v>412</v>
      </c>
      <c r="D18" s="7" t="s">
        <v>413</v>
      </c>
      <c r="E18" s="7" t="s">
        <v>414</v>
      </c>
      <c r="F18" s="7" t="s">
        <v>152</v>
      </c>
      <c r="G18" s="7" t="s">
        <v>415</v>
      </c>
      <c r="H18" s="7" t="s">
        <v>126</v>
      </c>
      <c r="I18" s="7" t="s">
        <v>416</v>
      </c>
      <c r="J18" s="7" t="s">
        <v>417</v>
      </c>
      <c r="K18" s="7" t="s">
        <v>418</v>
      </c>
      <c r="L18" s="7" t="s">
        <v>419</v>
      </c>
      <c r="M18" s="7" t="s">
        <v>420</v>
      </c>
      <c r="N18" s="7" t="s">
        <v>278</v>
      </c>
      <c r="O18" s="7" t="s">
        <v>158</v>
      </c>
      <c r="P18" s="7" t="s">
        <v>421</v>
      </c>
      <c r="Q18" s="7" t="s">
        <v>106</v>
      </c>
      <c r="R18" s="7" t="s">
        <v>238</v>
      </c>
      <c r="S18" s="7" t="s">
        <v>193</v>
      </c>
      <c r="T18" s="7" t="s">
        <v>422</v>
      </c>
      <c r="U18" s="7" t="s">
        <v>423</v>
      </c>
      <c r="V18" s="7" t="s">
        <v>424</v>
      </c>
      <c r="W18" s="7" t="s">
        <v>425</v>
      </c>
      <c r="X18" s="7" t="s">
        <v>426</v>
      </c>
      <c r="Y18" s="7" t="s">
        <v>242</v>
      </c>
      <c r="Z18" s="7" t="s">
        <v>427</v>
      </c>
      <c r="AA18" s="7" t="s">
        <v>106</v>
      </c>
      <c r="AB18" s="7" t="s">
        <v>428</v>
      </c>
      <c r="AC18" s="7" t="s">
        <v>429</v>
      </c>
      <c r="AD18" s="7" t="s">
        <v>112</v>
      </c>
      <c r="AE18" s="7" t="s">
        <v>106</v>
      </c>
      <c r="AF18" s="7" t="s">
        <v>106</v>
      </c>
      <c r="AG18" s="7" t="s">
        <v>430</v>
      </c>
      <c r="AH18" s="7" t="s">
        <v>431</v>
      </c>
      <c r="AI18" s="7" t="s">
        <v>432</v>
      </c>
      <c r="AJ18" s="7" t="s">
        <v>433</v>
      </c>
      <c r="AK18" s="10" t="s">
        <v>118</v>
      </c>
      <c r="AL18" s="10" t="s">
        <v>118</v>
      </c>
      <c r="AM18" s="10" t="s">
        <v>118</v>
      </c>
      <c r="AN18" s="10"/>
      <c r="AO18" s="7" t="str">
        <f aca="false">IF(AN18&lt;&gt;"","Exclude (duplicate)",IF(OR(AK18="Check",AL18="Check",AM18="Check"),"Check",IF(AND(AK18="Yes",AL18="Yes",AM18="Yes"),"Include","Exclude")))</f>
        <v>Include</v>
      </c>
      <c r="AP18" s="10"/>
      <c r="AQ18" s="10" t="s">
        <v>119</v>
      </c>
      <c r="AR18" s="10" t="s">
        <v>434</v>
      </c>
      <c r="AS18" s="10"/>
      <c r="AT18" s="7" t="str">
        <f aca="false">IF(AR18="","",IFERROR(INDEX(Libraries!$B:$B,MATCH(AR18,Libraries!$A:$A,0)),"ID not found"))</f>
        <v>Western Rajasthan vis-NIR-SWIR library</v>
      </c>
    </row>
    <row r="19" customFormat="false" ht="45.75" hidden="false" customHeight="true" outlineLevel="0" collapsed="false">
      <c r="A19" s="7" t="s">
        <v>435</v>
      </c>
      <c r="B19" s="7" t="s">
        <v>436</v>
      </c>
      <c r="C19" s="7" t="s">
        <v>93</v>
      </c>
      <c r="D19" s="7" t="s">
        <v>437</v>
      </c>
      <c r="E19" s="7" t="s">
        <v>95</v>
      </c>
      <c r="F19" s="7" t="s">
        <v>23</v>
      </c>
      <c r="G19" s="7" t="s">
        <v>438</v>
      </c>
      <c r="H19" s="7" t="s">
        <v>126</v>
      </c>
      <c r="I19" s="7" t="s">
        <v>439</v>
      </c>
      <c r="J19" s="7" t="s">
        <v>440</v>
      </c>
      <c r="K19" s="7" t="s">
        <v>441</v>
      </c>
      <c r="L19" s="7" t="s">
        <v>442</v>
      </c>
      <c r="M19" s="7" t="s">
        <v>443</v>
      </c>
      <c r="N19" s="7" t="s">
        <v>278</v>
      </c>
      <c r="O19" s="7" t="s">
        <v>158</v>
      </c>
      <c r="P19" s="7" t="s">
        <v>444</v>
      </c>
      <c r="Q19" s="7" t="s">
        <v>106</v>
      </c>
      <c r="R19" s="7" t="s">
        <v>445</v>
      </c>
      <c r="S19" s="7" t="s">
        <v>193</v>
      </c>
      <c r="T19" s="7" t="s">
        <v>446</v>
      </c>
      <c r="U19" s="7" t="s">
        <v>447</v>
      </c>
      <c r="V19" s="7" t="s">
        <v>106</v>
      </c>
      <c r="W19" s="7" t="s">
        <v>197</v>
      </c>
      <c r="X19" s="7" t="s">
        <v>448</v>
      </c>
      <c r="Y19" s="7" t="s">
        <v>106</v>
      </c>
      <c r="Z19" s="7" t="s">
        <v>449</v>
      </c>
      <c r="AA19" s="7" t="s">
        <v>106</v>
      </c>
      <c r="AB19" s="7" t="s">
        <v>450</v>
      </c>
      <c r="AC19" s="7" t="s">
        <v>106</v>
      </c>
      <c r="AD19" s="7" t="s">
        <v>106</v>
      </c>
      <c r="AE19" s="7" t="s">
        <v>106</v>
      </c>
      <c r="AF19" s="7" t="s">
        <v>106</v>
      </c>
      <c r="AG19" s="7" t="s">
        <v>451</v>
      </c>
      <c r="AH19" s="7" t="s">
        <v>452</v>
      </c>
      <c r="AI19" s="7" t="s">
        <v>453</v>
      </c>
      <c r="AJ19" s="7" t="s">
        <v>454</v>
      </c>
      <c r="AK19" s="10" t="s">
        <v>118</v>
      </c>
      <c r="AL19" s="10" t="s">
        <v>118</v>
      </c>
      <c r="AM19" s="10" t="s">
        <v>220</v>
      </c>
      <c r="AN19" s="10"/>
      <c r="AO19" s="7" t="str">
        <f aca="false">IF(AN19&lt;&gt;"","Exclude (duplicate)",IF(OR(AK19="Check",AL19="Check",AM19="Check"),"Check",IF(AND(AK19="Yes",AL19="Yes",AM19="Yes"),"Include","Exclude")))</f>
        <v>Exclude</v>
      </c>
      <c r="AP19" s="10" t="s">
        <v>455</v>
      </c>
      <c r="AQ19" s="10" t="s">
        <v>222</v>
      </c>
      <c r="AR19" s="10"/>
      <c r="AS19" s="10"/>
      <c r="AT19" s="7" t="str">
        <f aca="false">IF(AR19="","",IFERROR(INDEX(Libraries!$B:$B,MATCH(AR19,Libraries!$A:$A,0)),"ID not found"))</f>
        <v/>
      </c>
    </row>
    <row r="20" customFormat="false" ht="34.5" hidden="false" customHeight="true" outlineLevel="0" collapsed="false">
      <c r="A20" s="7" t="s">
        <v>456</v>
      </c>
      <c r="B20" s="7" t="s">
        <v>457</v>
      </c>
      <c r="C20" s="7" t="s">
        <v>458</v>
      </c>
      <c r="D20" s="7" t="s">
        <v>459</v>
      </c>
      <c r="E20" s="7" t="s">
        <v>95</v>
      </c>
      <c r="F20" s="7" t="s">
        <v>215</v>
      </c>
      <c r="G20" s="7" t="s">
        <v>460</v>
      </c>
      <c r="H20" s="7" t="s">
        <v>135</v>
      </c>
      <c r="I20" s="7" t="s">
        <v>439</v>
      </c>
      <c r="J20" s="7" t="s">
        <v>461</v>
      </c>
      <c r="K20" s="7" t="s">
        <v>185</v>
      </c>
      <c r="L20" s="7"/>
      <c r="M20" s="7"/>
      <c r="N20" s="7"/>
      <c r="O20" s="7"/>
      <c r="P20" s="7"/>
      <c r="Q20" s="7"/>
      <c r="R20" s="7"/>
      <c r="S20" s="7"/>
      <c r="T20" s="7"/>
      <c r="U20" s="7"/>
      <c r="V20" s="7"/>
      <c r="W20" s="7"/>
      <c r="X20" s="7"/>
      <c r="Y20" s="7"/>
      <c r="Z20" s="7"/>
      <c r="AA20" s="7"/>
      <c r="AB20" s="7"/>
      <c r="AC20" s="7"/>
      <c r="AD20" s="7"/>
      <c r="AE20" s="7"/>
      <c r="AF20" s="7"/>
      <c r="AG20" s="7"/>
      <c r="AH20" s="7"/>
      <c r="AI20" s="7"/>
      <c r="AJ20" s="7"/>
      <c r="AK20" s="10" t="s">
        <v>118</v>
      </c>
      <c r="AL20" s="10" t="s">
        <v>118</v>
      </c>
      <c r="AM20" s="10" t="s">
        <v>220</v>
      </c>
      <c r="AN20" s="10"/>
      <c r="AO20" s="7" t="str">
        <f aca="false">IF(AN20&lt;&gt;"","Exclude (duplicate)",IF(OR(AK20="Check",AL20="Check",AM20="Check"),"Check",IF(AND(AK20="Yes",AL20="Yes",AM20="Yes"),"Include","Exclude")))</f>
        <v>Exclude</v>
      </c>
      <c r="AP20" s="10" t="s">
        <v>462</v>
      </c>
      <c r="AQ20" s="10" t="s">
        <v>222</v>
      </c>
      <c r="AR20" s="10"/>
      <c r="AS20" s="10"/>
      <c r="AT20" s="7" t="str">
        <f aca="false">IF(AR20="","",IFERROR(INDEX(Libraries!$B:$B,MATCH(AR20,Libraries!$A:$A,0)),"ID not found"))</f>
        <v/>
      </c>
    </row>
    <row r="21" customFormat="false" ht="34.5" hidden="false" customHeight="true" outlineLevel="0" collapsed="false">
      <c r="A21" s="7" t="s">
        <v>121</v>
      </c>
      <c r="B21" s="7" t="s">
        <v>463</v>
      </c>
      <c r="C21" s="7" t="s">
        <v>139</v>
      </c>
      <c r="D21" s="7" t="s">
        <v>464</v>
      </c>
      <c r="E21" s="11" t="s">
        <v>465</v>
      </c>
      <c r="F21" s="7" t="s">
        <v>23</v>
      </c>
      <c r="G21" s="7" t="s">
        <v>466</v>
      </c>
      <c r="H21" s="7" t="s">
        <v>467</v>
      </c>
      <c r="I21" s="7" t="s">
        <v>468</v>
      </c>
      <c r="J21" s="7" t="s">
        <v>469</v>
      </c>
      <c r="K21" s="7" t="s">
        <v>155</v>
      </c>
      <c r="L21" s="7" t="s">
        <v>470</v>
      </c>
      <c r="M21" s="7" t="s">
        <v>471</v>
      </c>
      <c r="N21" s="7" t="s">
        <v>472</v>
      </c>
      <c r="O21" s="7" t="s">
        <v>473</v>
      </c>
      <c r="P21" s="7" t="s">
        <v>474</v>
      </c>
      <c r="Q21" s="7" t="s">
        <v>106</v>
      </c>
      <c r="R21" s="7" t="s">
        <v>475</v>
      </c>
      <c r="S21" s="7" t="s">
        <v>193</v>
      </c>
      <c r="T21" s="7" t="s">
        <v>476</v>
      </c>
      <c r="U21" s="7" t="s">
        <v>477</v>
      </c>
      <c r="V21" s="7" t="s">
        <v>106</v>
      </c>
      <c r="W21" s="7" t="s">
        <v>478</v>
      </c>
      <c r="X21" s="7" t="s">
        <v>479</v>
      </c>
      <c r="Y21" s="7" t="s">
        <v>480</v>
      </c>
      <c r="Z21" s="7" t="s">
        <v>481</v>
      </c>
      <c r="AA21" s="7" t="s">
        <v>482</v>
      </c>
      <c r="AB21" s="7" t="s">
        <v>483</v>
      </c>
      <c r="AC21" s="7" t="s">
        <v>484</v>
      </c>
      <c r="AD21" s="7" t="s">
        <v>112</v>
      </c>
      <c r="AE21" s="7" t="s">
        <v>485</v>
      </c>
      <c r="AF21" s="7" t="s">
        <v>106</v>
      </c>
      <c r="AG21" s="7" t="s">
        <v>486</v>
      </c>
      <c r="AH21" s="7" t="s">
        <v>487</v>
      </c>
      <c r="AI21" s="7" t="s">
        <v>488</v>
      </c>
      <c r="AJ21" s="7" t="s">
        <v>489</v>
      </c>
      <c r="AK21" s="10" t="s">
        <v>118</v>
      </c>
      <c r="AL21" s="10" t="s">
        <v>118</v>
      </c>
      <c r="AM21" s="10" t="s">
        <v>118</v>
      </c>
      <c r="AN21" s="10"/>
      <c r="AO21" s="7" t="str">
        <f aca="false">IF(AN21&lt;&gt;"","Exclude (duplicate)",IF(OR(AK21="Check",AL21="Check",AM21="Check"),"Check",IF(AND(AK21="Yes",AL21="Yes",AM21="Yes"),"Include","Exclude")))</f>
        <v>Include</v>
      </c>
      <c r="AP21" s="10"/>
      <c r="AQ21" s="10" t="s">
        <v>128</v>
      </c>
      <c r="AR21" s="10" t="s">
        <v>129</v>
      </c>
      <c r="AS21" s="10"/>
      <c r="AT21" s="7" t="str">
        <f aca="false">IF(AR21="","",IFERROR(INDEX(Libraries!$B:$B,MATCH(AR21,Libraries!$A:$A,0)),"ID not found"))</f>
        <v>USDA NSSC-KSSL vis-NIR library</v>
      </c>
    </row>
    <row r="22" customFormat="false" ht="68.25" hidden="false" customHeight="true" outlineLevel="0" collapsed="false">
      <c r="A22" s="7" t="s">
        <v>490</v>
      </c>
      <c r="B22" s="7" t="s">
        <v>491</v>
      </c>
      <c r="C22" s="7" t="s">
        <v>261</v>
      </c>
      <c r="D22" s="7" t="s">
        <v>492</v>
      </c>
      <c r="E22" s="7" t="s">
        <v>493</v>
      </c>
      <c r="F22" s="7" t="s">
        <v>23</v>
      </c>
      <c r="G22" s="7" t="s">
        <v>460</v>
      </c>
      <c r="H22" s="7" t="s">
        <v>135</v>
      </c>
      <c r="I22" s="7" t="s">
        <v>494</v>
      </c>
      <c r="J22" s="7" t="s">
        <v>495</v>
      </c>
      <c r="K22" s="7" t="s">
        <v>185</v>
      </c>
      <c r="L22" s="7" t="s">
        <v>496</v>
      </c>
      <c r="M22" s="7" t="s">
        <v>497</v>
      </c>
      <c r="N22" s="7" t="s">
        <v>472</v>
      </c>
      <c r="O22" s="7" t="s">
        <v>498</v>
      </c>
      <c r="P22" s="7" t="s">
        <v>159</v>
      </c>
      <c r="Q22" s="7" t="s">
        <v>106</v>
      </c>
      <c r="R22" s="7" t="s">
        <v>238</v>
      </c>
      <c r="S22" s="7" t="s">
        <v>193</v>
      </c>
      <c r="T22" s="7" t="s">
        <v>499</v>
      </c>
      <c r="U22" s="7" t="s">
        <v>500</v>
      </c>
      <c r="V22" s="7" t="s">
        <v>106</v>
      </c>
      <c r="W22" s="7" t="s">
        <v>197</v>
      </c>
      <c r="X22" s="7" t="s">
        <v>241</v>
      </c>
      <c r="Y22" s="7" t="s">
        <v>242</v>
      </c>
      <c r="Z22" s="7" t="s">
        <v>501</v>
      </c>
      <c r="AA22" s="7" t="s">
        <v>106</v>
      </c>
      <c r="AB22" s="7" t="s">
        <v>502</v>
      </c>
      <c r="AC22" s="7" t="s">
        <v>503</v>
      </c>
      <c r="AD22" s="7" t="s">
        <v>112</v>
      </c>
      <c r="AE22" s="7" t="s">
        <v>106</v>
      </c>
      <c r="AF22" s="7" t="s">
        <v>106</v>
      </c>
      <c r="AG22" s="7" t="s">
        <v>504</v>
      </c>
      <c r="AH22" s="7" t="s">
        <v>505</v>
      </c>
      <c r="AI22" s="7" t="s">
        <v>506</v>
      </c>
      <c r="AJ22" s="7" t="s">
        <v>507</v>
      </c>
      <c r="AK22" s="10" t="s">
        <v>118</v>
      </c>
      <c r="AL22" s="10" t="s">
        <v>118</v>
      </c>
      <c r="AM22" s="10" t="s">
        <v>118</v>
      </c>
      <c r="AN22" s="10"/>
      <c r="AO22" s="7" t="str">
        <f aca="false">IF(AN22&lt;&gt;"","Exclude (duplicate)",IF(OR(AK22="Check",AL22="Check",AM22="Check"),"Check",IF(AND(AK22="Yes",AL22="Yes",AM22="Yes"),"Include","Exclude")))</f>
        <v>Include</v>
      </c>
      <c r="AP22" s="10"/>
      <c r="AQ22" s="10" t="s">
        <v>119</v>
      </c>
      <c r="AR22" s="10" t="s">
        <v>508</v>
      </c>
      <c r="AS22" s="10"/>
      <c r="AT22" s="7" t="str">
        <f aca="false">IF(AR22="","",IFERROR(INDEX(Libraries!$B:$B,MATCH(AR22,Libraries!$A:$A,0)),"ID not found"))</f>
        <v>Soil spectral library of the Czech soils (SSL-CZ)</v>
      </c>
    </row>
    <row r="23" customFormat="false" ht="34.5" hidden="false" customHeight="true" outlineLevel="0" collapsed="false">
      <c r="A23" s="7" t="s">
        <v>509</v>
      </c>
      <c r="B23" s="7" t="s">
        <v>510</v>
      </c>
      <c r="C23" s="7" t="s">
        <v>213</v>
      </c>
      <c r="D23" s="7" t="s">
        <v>511</v>
      </c>
      <c r="E23" s="7" t="s">
        <v>512</v>
      </c>
      <c r="F23" s="7" t="s">
        <v>152</v>
      </c>
      <c r="G23" s="7" t="s">
        <v>513</v>
      </c>
      <c r="H23" s="7" t="s">
        <v>126</v>
      </c>
      <c r="I23" s="7" t="s">
        <v>514</v>
      </c>
      <c r="J23" s="7" t="s">
        <v>515</v>
      </c>
      <c r="K23" s="7" t="s">
        <v>516</v>
      </c>
      <c r="L23" s="7" t="s">
        <v>517</v>
      </c>
      <c r="M23" s="7" t="s">
        <v>518</v>
      </c>
      <c r="N23" s="7" t="s">
        <v>350</v>
      </c>
      <c r="O23" s="7" t="s">
        <v>519</v>
      </c>
      <c r="P23" s="7" t="s">
        <v>520</v>
      </c>
      <c r="Q23" s="7" t="s">
        <v>106</v>
      </c>
      <c r="R23" s="7" t="s">
        <v>521</v>
      </c>
      <c r="S23" s="7" t="s">
        <v>193</v>
      </c>
      <c r="T23" s="7" t="s">
        <v>104</v>
      </c>
      <c r="U23" s="7" t="s">
        <v>522</v>
      </c>
      <c r="V23" s="7" t="s">
        <v>106</v>
      </c>
      <c r="W23" s="7" t="s">
        <v>197</v>
      </c>
      <c r="X23" s="7" t="s">
        <v>241</v>
      </c>
      <c r="Y23" s="7" t="s">
        <v>523</v>
      </c>
      <c r="Z23" s="7" t="s">
        <v>524</v>
      </c>
      <c r="AA23" s="7" t="s">
        <v>525</v>
      </c>
      <c r="AB23" s="7" t="s">
        <v>526</v>
      </c>
      <c r="AC23" s="7" t="s">
        <v>527</v>
      </c>
      <c r="AD23" s="7" t="s">
        <v>528</v>
      </c>
      <c r="AE23" s="7" t="s">
        <v>529</v>
      </c>
      <c r="AF23" s="7" t="s">
        <v>106</v>
      </c>
      <c r="AG23" s="7" t="s">
        <v>530</v>
      </c>
      <c r="AH23" s="7" t="s">
        <v>531</v>
      </c>
      <c r="AI23" s="7" t="s">
        <v>532</v>
      </c>
      <c r="AJ23" s="7" t="s">
        <v>533</v>
      </c>
      <c r="AK23" s="10" t="s">
        <v>118</v>
      </c>
      <c r="AL23" s="10" t="s">
        <v>118</v>
      </c>
      <c r="AM23" s="10" t="s">
        <v>118</v>
      </c>
      <c r="AN23" s="10"/>
      <c r="AO23" s="7" t="str">
        <f aca="false">IF(AN23&lt;&gt;"","Exclude (duplicate)",IF(OR(AK23="Check",AL23="Check",AM23="Check"),"Check",IF(AND(AK23="Yes",AL23="Yes",AM23="Yes"),"Include","Exclude")))</f>
        <v>Include</v>
      </c>
      <c r="AP23" s="10"/>
      <c r="AQ23" s="10" t="s">
        <v>119</v>
      </c>
      <c r="AR23" s="10" t="s">
        <v>534</v>
      </c>
      <c r="AS23" s="10"/>
      <c r="AT23" s="7" t="str">
        <f aca="false">IF(AR23="","",IFERROR(INDEX(Libraries!$B:$B,MATCH(AR23,Libraries!$A:$A,0)),"ID not found"))</f>
        <v>Gyeonggi Soil Spectral Library (G-SSL)</v>
      </c>
    </row>
    <row r="24" customFormat="false" ht="57" hidden="false" customHeight="true" outlineLevel="0" collapsed="false">
      <c r="A24" s="7" t="s">
        <v>535</v>
      </c>
      <c r="B24" s="7" t="s">
        <v>536</v>
      </c>
      <c r="C24" s="7" t="s">
        <v>537</v>
      </c>
      <c r="D24" s="7" t="s">
        <v>538</v>
      </c>
      <c r="E24" s="7" t="s">
        <v>141</v>
      </c>
      <c r="F24" s="7" t="s">
        <v>152</v>
      </c>
      <c r="G24" s="7" t="s">
        <v>539</v>
      </c>
      <c r="H24" s="7" t="s">
        <v>143</v>
      </c>
      <c r="I24" s="7" t="s">
        <v>540</v>
      </c>
      <c r="J24" s="7" t="s">
        <v>541</v>
      </c>
      <c r="K24" s="7" t="s">
        <v>155</v>
      </c>
      <c r="L24" s="7" t="s">
        <v>348</v>
      </c>
      <c r="M24" s="7" t="s">
        <v>542</v>
      </c>
      <c r="N24" s="7" t="s">
        <v>278</v>
      </c>
      <c r="O24" s="7" t="s">
        <v>543</v>
      </c>
      <c r="P24" s="7" t="s">
        <v>421</v>
      </c>
      <c r="Q24" s="7" t="s">
        <v>106</v>
      </c>
      <c r="R24" s="7" t="s">
        <v>238</v>
      </c>
      <c r="S24" s="7" t="s">
        <v>193</v>
      </c>
      <c r="T24" s="7" t="s">
        <v>544</v>
      </c>
      <c r="U24" s="7" t="s">
        <v>545</v>
      </c>
      <c r="V24" s="7" t="s">
        <v>546</v>
      </c>
      <c r="W24" s="7" t="s">
        <v>547</v>
      </c>
      <c r="X24" s="7" t="s">
        <v>548</v>
      </c>
      <c r="Y24" s="7" t="s">
        <v>242</v>
      </c>
      <c r="Z24" s="7" t="s">
        <v>549</v>
      </c>
      <c r="AA24" s="7" t="s">
        <v>106</v>
      </c>
      <c r="AB24" s="7" t="s">
        <v>550</v>
      </c>
      <c r="AC24" s="7" t="s">
        <v>551</v>
      </c>
      <c r="AD24" s="7" t="s">
        <v>112</v>
      </c>
      <c r="AE24" s="7" t="s">
        <v>106</v>
      </c>
      <c r="AF24" s="7" t="s">
        <v>106</v>
      </c>
      <c r="AG24" s="7" t="s">
        <v>552</v>
      </c>
      <c r="AH24" s="7" t="s">
        <v>553</v>
      </c>
      <c r="AI24" s="7" t="s">
        <v>554</v>
      </c>
      <c r="AJ24" s="7" t="s">
        <v>555</v>
      </c>
      <c r="AK24" s="10" t="s">
        <v>118</v>
      </c>
      <c r="AL24" s="10" t="s">
        <v>118</v>
      </c>
      <c r="AM24" s="10" t="s">
        <v>118</v>
      </c>
      <c r="AN24" s="10"/>
      <c r="AO24" s="7" t="str">
        <f aca="false">IF(AN24&lt;&gt;"","Exclude (duplicate)",IF(OR(AK24="Check",AL24="Check",AM24="Check"),"Check",IF(AND(AK24="Yes",AL24="Yes",AM24="Yes"),"Include","Exclude")))</f>
        <v>Include</v>
      </c>
      <c r="AP24" s="10" t="s">
        <v>556</v>
      </c>
      <c r="AQ24" s="10" t="s">
        <v>119</v>
      </c>
      <c r="AR24" s="10" t="s">
        <v>557</v>
      </c>
      <c r="AS24" s="10"/>
      <c r="AT24" s="7" t="str">
        <f aca="false">IF(AR24="","",IFERROR(INDEX(Libraries!$B:$B,MATCH(AR24,Libraries!$A:$A,0)),"ID not found"))</f>
        <v>Southern Brazil regional legacy soil spectral dataset</v>
      </c>
    </row>
    <row r="25" customFormat="false" ht="34.5" hidden="false" customHeight="true" outlineLevel="0" collapsed="false">
      <c r="A25" s="7" t="s">
        <v>558</v>
      </c>
      <c r="B25" s="7" t="s">
        <v>559</v>
      </c>
      <c r="C25" s="7" t="s">
        <v>560</v>
      </c>
      <c r="D25" s="7" t="s">
        <v>561</v>
      </c>
      <c r="E25" s="11" t="s">
        <v>562</v>
      </c>
      <c r="F25" s="7" t="s">
        <v>181</v>
      </c>
      <c r="G25" s="7" t="s">
        <v>563</v>
      </c>
      <c r="H25" s="7" t="s">
        <v>126</v>
      </c>
      <c r="I25" s="7" t="s">
        <v>564</v>
      </c>
      <c r="J25" s="7" t="s">
        <v>565</v>
      </c>
      <c r="K25" s="7" t="s">
        <v>566</v>
      </c>
      <c r="L25" s="7" t="s">
        <v>348</v>
      </c>
      <c r="M25" s="7" t="s">
        <v>567</v>
      </c>
      <c r="N25" s="7" t="s">
        <v>472</v>
      </c>
      <c r="O25" s="7" t="s">
        <v>158</v>
      </c>
      <c r="P25" s="7" t="s">
        <v>568</v>
      </c>
      <c r="Q25" s="7" t="s">
        <v>106</v>
      </c>
      <c r="R25" s="7" t="s">
        <v>569</v>
      </c>
      <c r="S25" s="7" t="s">
        <v>193</v>
      </c>
      <c r="T25" s="7" t="s">
        <v>570</v>
      </c>
      <c r="U25" s="7" t="s">
        <v>571</v>
      </c>
      <c r="V25" s="7" t="s">
        <v>572</v>
      </c>
      <c r="W25" s="7" t="s">
        <v>573</v>
      </c>
      <c r="X25" s="7" t="s">
        <v>574</v>
      </c>
      <c r="Y25" s="7" t="s">
        <v>242</v>
      </c>
      <c r="Z25" s="7" t="s">
        <v>575</v>
      </c>
      <c r="AA25" s="7" t="s">
        <v>106</v>
      </c>
      <c r="AB25" s="7" t="s">
        <v>576</v>
      </c>
      <c r="AC25" s="7" t="s">
        <v>577</v>
      </c>
      <c r="AD25" s="7" t="s">
        <v>112</v>
      </c>
      <c r="AE25" s="7" t="s">
        <v>106</v>
      </c>
      <c r="AF25" s="7" t="s">
        <v>578</v>
      </c>
      <c r="AG25" s="7" t="s">
        <v>579</v>
      </c>
      <c r="AH25" s="7" t="s">
        <v>580</v>
      </c>
      <c r="AI25" s="7" t="s">
        <v>581</v>
      </c>
      <c r="AJ25" s="7" t="s">
        <v>582</v>
      </c>
      <c r="AK25" s="10" t="s">
        <v>118</v>
      </c>
      <c r="AL25" s="10" t="s">
        <v>118</v>
      </c>
      <c r="AM25" s="10" t="s">
        <v>118</v>
      </c>
      <c r="AN25" s="10"/>
      <c r="AO25" s="7" t="str">
        <f aca="false">IF(AN25&lt;&gt;"","Exclude (duplicate)",IF(OR(AK25="Check",AL25="Check",AM25="Check"),"Check",IF(AND(AK25="Yes",AL25="Yes",AM25="Yes"),"Include","Exclude")))</f>
        <v>Include</v>
      </c>
      <c r="AP25" s="10"/>
      <c r="AQ25" s="10" t="s">
        <v>119</v>
      </c>
      <c r="AR25" s="10" t="s">
        <v>583</v>
      </c>
      <c r="AS25" s="10"/>
      <c r="AT25" s="7" t="str">
        <f aca="false">IF(AR25="","",IFERROR(INDEX(Libraries!$B:$B,MATCH(AR25,Libraries!$A:$A,0)),"ID not found"))</f>
        <v>Chinese Soil Spectral Library (CSSL)</v>
      </c>
    </row>
    <row r="26" customFormat="false" ht="57" hidden="false" customHeight="true" outlineLevel="0" collapsed="false">
      <c r="A26" s="7" t="s">
        <v>584</v>
      </c>
      <c r="B26" s="7" t="s">
        <v>585</v>
      </c>
      <c r="C26" s="7" t="s">
        <v>458</v>
      </c>
      <c r="D26" s="7" t="s">
        <v>586</v>
      </c>
      <c r="E26" s="7" t="s">
        <v>587</v>
      </c>
      <c r="F26" s="7" t="s">
        <v>23</v>
      </c>
      <c r="G26" s="7" t="s">
        <v>588</v>
      </c>
      <c r="H26" s="7" t="s">
        <v>135</v>
      </c>
      <c r="I26" s="7" t="s">
        <v>589</v>
      </c>
      <c r="J26" s="7" t="s">
        <v>590</v>
      </c>
      <c r="K26" s="7" t="s">
        <v>185</v>
      </c>
      <c r="L26" s="7" t="s">
        <v>591</v>
      </c>
      <c r="M26" s="7" t="s">
        <v>592</v>
      </c>
      <c r="N26" s="7" t="s">
        <v>593</v>
      </c>
      <c r="O26" s="7" t="s">
        <v>594</v>
      </c>
      <c r="P26" s="7" t="s">
        <v>595</v>
      </c>
      <c r="Q26" s="7" t="s">
        <v>106</v>
      </c>
      <c r="R26" s="7" t="s">
        <v>596</v>
      </c>
      <c r="S26" s="7" t="s">
        <v>597</v>
      </c>
      <c r="T26" s="7" t="s">
        <v>598</v>
      </c>
      <c r="U26" s="7" t="s">
        <v>599</v>
      </c>
      <c r="V26" s="7" t="s">
        <v>600</v>
      </c>
      <c r="W26" s="7" t="s">
        <v>601</v>
      </c>
      <c r="X26" s="7" t="s">
        <v>602</v>
      </c>
      <c r="Y26" s="7" t="s">
        <v>603</v>
      </c>
      <c r="Z26" s="7" t="s">
        <v>604</v>
      </c>
      <c r="AA26" s="7" t="s">
        <v>605</v>
      </c>
      <c r="AB26" s="7" t="s">
        <v>606</v>
      </c>
      <c r="AC26" s="7" t="s">
        <v>607</v>
      </c>
      <c r="AD26" s="7" t="s">
        <v>112</v>
      </c>
      <c r="AE26" s="7" t="s">
        <v>106</v>
      </c>
      <c r="AF26" s="7" t="s">
        <v>608</v>
      </c>
      <c r="AG26" s="7" t="s">
        <v>609</v>
      </c>
      <c r="AH26" s="7" t="s">
        <v>610</v>
      </c>
      <c r="AI26" s="7" t="s">
        <v>611</v>
      </c>
      <c r="AJ26" s="7" t="s">
        <v>612</v>
      </c>
      <c r="AK26" s="10" t="s">
        <v>118</v>
      </c>
      <c r="AL26" s="10" t="s">
        <v>118</v>
      </c>
      <c r="AM26" s="10" t="s">
        <v>220</v>
      </c>
      <c r="AN26" s="10"/>
      <c r="AO26" s="7" t="str">
        <f aca="false">IF(AN26&lt;&gt;"","Exclude (duplicate)",IF(OR(AK26="Check",AL26="Check",AM26="Check"),"Check",IF(AND(AK26="Yes",AL26="Yes",AM26="Yes"),"Include","Exclude")))</f>
        <v>Exclude</v>
      </c>
      <c r="AP26" s="10" t="s">
        <v>613</v>
      </c>
      <c r="AQ26" s="10" t="s">
        <v>222</v>
      </c>
      <c r="AR26" s="10"/>
      <c r="AS26" s="10"/>
      <c r="AT26" s="7" t="str">
        <f aca="false">IF(AR26="","",IFERROR(INDEX(Libraries!$B:$B,MATCH(AR26,Libraries!$A:$A,0)),"ID not found"))</f>
        <v/>
      </c>
    </row>
    <row r="27" customFormat="false" ht="45.75" hidden="false" customHeight="true" outlineLevel="0" collapsed="false">
      <c r="A27" s="7" t="s">
        <v>614</v>
      </c>
      <c r="B27" s="7" t="s">
        <v>615</v>
      </c>
      <c r="C27" s="7" t="s">
        <v>616</v>
      </c>
      <c r="D27" s="7" t="s">
        <v>617</v>
      </c>
      <c r="E27" s="7" t="s">
        <v>618</v>
      </c>
      <c r="F27" s="7" t="s">
        <v>23</v>
      </c>
      <c r="G27" s="7" t="s">
        <v>619</v>
      </c>
      <c r="H27" s="7" t="s">
        <v>126</v>
      </c>
      <c r="I27" s="7" t="s">
        <v>620</v>
      </c>
      <c r="J27" s="7" t="s">
        <v>621</v>
      </c>
      <c r="K27" s="7" t="s">
        <v>155</v>
      </c>
      <c r="L27" s="7" t="s">
        <v>591</v>
      </c>
      <c r="M27" s="7" t="s">
        <v>622</v>
      </c>
      <c r="N27" s="7" t="s">
        <v>350</v>
      </c>
      <c r="O27" s="7" t="s">
        <v>623</v>
      </c>
      <c r="P27" s="7" t="s">
        <v>624</v>
      </c>
      <c r="Q27" s="7" t="s">
        <v>106</v>
      </c>
      <c r="R27" s="7" t="s">
        <v>238</v>
      </c>
      <c r="S27" s="7" t="s">
        <v>193</v>
      </c>
      <c r="T27" s="7" t="s">
        <v>625</v>
      </c>
      <c r="U27" s="7" t="s">
        <v>626</v>
      </c>
      <c r="V27" s="7" t="s">
        <v>106</v>
      </c>
      <c r="W27" s="7" t="s">
        <v>197</v>
      </c>
      <c r="X27" s="7" t="s">
        <v>627</v>
      </c>
      <c r="Y27" s="7" t="s">
        <v>242</v>
      </c>
      <c r="Z27" s="7" t="s">
        <v>628</v>
      </c>
      <c r="AA27" s="7" t="s">
        <v>106</v>
      </c>
      <c r="AB27" s="7" t="s">
        <v>629</v>
      </c>
      <c r="AC27" s="7" t="s">
        <v>630</v>
      </c>
      <c r="AD27" s="7" t="s">
        <v>112</v>
      </c>
      <c r="AE27" s="7" t="s">
        <v>106</v>
      </c>
      <c r="AF27" s="7" t="s">
        <v>106</v>
      </c>
      <c r="AG27" s="7" t="s">
        <v>631</v>
      </c>
      <c r="AH27" s="7" t="s">
        <v>632</v>
      </c>
      <c r="AI27" s="7" t="s">
        <v>633</v>
      </c>
      <c r="AJ27" s="7" t="s">
        <v>634</v>
      </c>
      <c r="AK27" s="10" t="s">
        <v>118</v>
      </c>
      <c r="AL27" s="10" t="s">
        <v>118</v>
      </c>
      <c r="AM27" s="10" t="s">
        <v>118</v>
      </c>
      <c r="AN27" s="10"/>
      <c r="AO27" s="7" t="str">
        <f aca="false">IF(AN27&lt;&gt;"","Exclude (duplicate)",IF(OR(AK27="Check",AL27="Check",AM27="Check"),"Check",IF(AND(AK27="Yes",AL27="Yes",AM27="Yes"),"Include","Exclude")))</f>
        <v>Include</v>
      </c>
      <c r="AP27" s="10"/>
      <c r="AQ27" s="10" t="s">
        <v>119</v>
      </c>
      <c r="AR27" s="10" t="s">
        <v>635</v>
      </c>
      <c r="AS27" s="10"/>
      <c r="AT27" s="7" t="str">
        <f aca="false">IF(AR27="","",IFERROR(INDEX(Libraries!$B:$B,MATCH(AR27,Libraries!$A:$A,0)),"ID not found"))</f>
        <v>Indonesian Soil Spectral Library</v>
      </c>
    </row>
    <row r="28" customFormat="false" ht="57" hidden="false" customHeight="true" outlineLevel="0" collapsed="false">
      <c r="A28" s="7" t="s">
        <v>636</v>
      </c>
      <c r="B28" s="7" t="s">
        <v>637</v>
      </c>
      <c r="C28" s="7" t="s">
        <v>93</v>
      </c>
      <c r="D28" s="7" t="s">
        <v>638</v>
      </c>
      <c r="E28" s="11" t="s">
        <v>141</v>
      </c>
      <c r="F28" s="7" t="s">
        <v>23</v>
      </c>
      <c r="G28" s="7" t="s">
        <v>142</v>
      </c>
      <c r="H28" s="7" t="s">
        <v>143</v>
      </c>
      <c r="I28" s="7" t="s">
        <v>639</v>
      </c>
      <c r="J28" s="7" t="s">
        <v>640</v>
      </c>
      <c r="K28" s="7" t="s">
        <v>641</v>
      </c>
      <c r="L28" s="7"/>
      <c r="M28" s="7"/>
      <c r="N28" s="7"/>
      <c r="O28" s="7"/>
      <c r="P28" s="7"/>
      <c r="Q28" s="7"/>
      <c r="R28" s="7"/>
      <c r="S28" s="7"/>
      <c r="T28" s="7"/>
      <c r="U28" s="7"/>
      <c r="V28" s="7"/>
      <c r="W28" s="7"/>
      <c r="X28" s="7"/>
      <c r="Y28" s="7"/>
      <c r="Z28" s="7"/>
      <c r="AA28" s="7"/>
      <c r="AB28" s="7"/>
      <c r="AC28" s="7"/>
      <c r="AD28" s="7"/>
      <c r="AE28" s="7"/>
      <c r="AF28" s="7"/>
      <c r="AG28" s="7"/>
      <c r="AH28" s="7"/>
      <c r="AI28" s="7"/>
      <c r="AJ28" s="7"/>
      <c r="AK28" s="10" t="s">
        <v>118</v>
      </c>
      <c r="AL28" s="10" t="s">
        <v>118</v>
      </c>
      <c r="AM28" s="10" t="s">
        <v>118</v>
      </c>
      <c r="AN28" s="10"/>
      <c r="AO28" s="7" t="str">
        <f aca="false">IF(AN28&lt;&gt;"","Exclude (duplicate)",IF(OR(AK28="Check",AL28="Check",AM28="Check"),"Check",IF(AND(AK28="Yes",AL28="Yes",AM28="Yes"),"Include","Exclude")))</f>
        <v>Include</v>
      </c>
      <c r="AP28" s="10"/>
      <c r="AQ28" s="10" t="s">
        <v>642</v>
      </c>
      <c r="AR28" s="10" t="s">
        <v>147</v>
      </c>
      <c r="AS28" s="10"/>
      <c r="AT28" s="7" t="str">
        <f aca="false">IF(AR28="","",IFERROR(INDEX(Libraries!$B:$B,MATCH(AR28,Libraries!$A:$A,0)),"ID not found"))</f>
        <v>Brazilian Soil Spectral Library (BSSL, vis-NIR-SWIR)</v>
      </c>
    </row>
    <row r="29" customFormat="false" ht="45.75" hidden="false" customHeight="true" outlineLevel="0" collapsed="false">
      <c r="A29" s="7" t="s">
        <v>643</v>
      </c>
      <c r="B29" s="7" t="s">
        <v>644</v>
      </c>
      <c r="C29" s="7" t="s">
        <v>132</v>
      </c>
      <c r="D29" s="7" t="s">
        <v>645</v>
      </c>
      <c r="E29" s="7" t="s">
        <v>646</v>
      </c>
      <c r="F29" s="7" t="s">
        <v>215</v>
      </c>
      <c r="G29" s="7" t="s">
        <v>142</v>
      </c>
      <c r="H29" s="7" t="s">
        <v>143</v>
      </c>
      <c r="I29" s="7" t="s">
        <v>647</v>
      </c>
      <c r="J29" s="7" t="s">
        <v>648</v>
      </c>
      <c r="K29" s="7" t="s">
        <v>155</v>
      </c>
      <c r="L29" s="7" t="s">
        <v>649</v>
      </c>
      <c r="M29" s="7" t="s">
        <v>650</v>
      </c>
      <c r="N29" s="7" t="s">
        <v>472</v>
      </c>
      <c r="O29" s="7" t="s">
        <v>158</v>
      </c>
      <c r="P29" s="7" t="s">
        <v>159</v>
      </c>
      <c r="Q29" s="7" t="s">
        <v>106</v>
      </c>
      <c r="R29" s="7" t="s">
        <v>238</v>
      </c>
      <c r="S29" s="7" t="s">
        <v>193</v>
      </c>
      <c r="T29" s="7" t="s">
        <v>651</v>
      </c>
      <c r="U29" s="7" t="s">
        <v>652</v>
      </c>
      <c r="V29" s="7" t="s">
        <v>106</v>
      </c>
      <c r="W29" s="7" t="s">
        <v>653</v>
      </c>
      <c r="X29" s="7" t="s">
        <v>654</v>
      </c>
      <c r="Y29" s="7" t="s">
        <v>655</v>
      </c>
      <c r="Z29" s="7" t="s">
        <v>656</v>
      </c>
      <c r="AA29" s="7" t="s">
        <v>106</v>
      </c>
      <c r="AB29" s="7" t="s">
        <v>657</v>
      </c>
      <c r="AC29" s="7" t="s">
        <v>658</v>
      </c>
      <c r="AD29" s="7" t="s">
        <v>112</v>
      </c>
      <c r="AE29" s="7" t="s">
        <v>106</v>
      </c>
      <c r="AF29" s="7" t="s">
        <v>659</v>
      </c>
      <c r="AG29" s="7" t="s">
        <v>660</v>
      </c>
      <c r="AH29" s="7" t="s">
        <v>661</v>
      </c>
      <c r="AI29" s="7" t="s">
        <v>662</v>
      </c>
      <c r="AJ29" s="7" t="s">
        <v>663</v>
      </c>
      <c r="AK29" s="10" t="s">
        <v>118</v>
      </c>
      <c r="AL29" s="10" t="s">
        <v>118</v>
      </c>
      <c r="AM29" s="10" t="s">
        <v>118</v>
      </c>
      <c r="AN29" s="10"/>
      <c r="AO29" s="7" t="str">
        <f aca="false">IF(AN29&lt;&gt;"","Exclude (duplicate)",IF(OR(AK29="Check",AL29="Check",AM29="Check"),"Check",IF(AND(AK29="Yes",AL29="Yes",AM29="Yes"),"Include","Exclude")))</f>
        <v>Include</v>
      </c>
      <c r="AP29" s="10" t="s">
        <v>664</v>
      </c>
      <c r="AQ29" s="10" t="s">
        <v>128</v>
      </c>
      <c r="AR29" s="10" t="s">
        <v>147</v>
      </c>
      <c r="AS29" s="10"/>
      <c r="AT29" s="7" t="str">
        <f aca="false">IF(AR29="","",IFERROR(INDEX(Libraries!$B:$B,MATCH(AR29,Libraries!$A:$A,0)),"ID not found"))</f>
        <v>Brazilian Soil Spectral Library (BSSL, vis-NIR-SWIR)</v>
      </c>
    </row>
    <row r="30" customFormat="false" ht="57" hidden="false" customHeight="true" outlineLevel="0" collapsed="false">
      <c r="A30" s="7" t="s">
        <v>665</v>
      </c>
      <c r="B30" s="7" t="s">
        <v>666</v>
      </c>
      <c r="C30" s="7" t="s">
        <v>616</v>
      </c>
      <c r="D30" s="7" t="s">
        <v>667</v>
      </c>
      <c r="E30" s="7" t="s">
        <v>668</v>
      </c>
      <c r="F30" s="7" t="s">
        <v>669</v>
      </c>
      <c r="G30" s="7" t="s">
        <v>670</v>
      </c>
      <c r="H30" s="7" t="s">
        <v>671</v>
      </c>
      <c r="I30" s="7" t="s">
        <v>672</v>
      </c>
      <c r="J30" s="7" t="s">
        <v>673</v>
      </c>
      <c r="K30" s="7" t="s">
        <v>155</v>
      </c>
      <c r="L30" s="7" t="s">
        <v>348</v>
      </c>
      <c r="M30" s="7" t="s">
        <v>674</v>
      </c>
      <c r="N30" s="7" t="s">
        <v>675</v>
      </c>
      <c r="O30" s="7" t="s">
        <v>676</v>
      </c>
      <c r="P30" s="7" t="s">
        <v>677</v>
      </c>
      <c r="Q30" s="7" t="s">
        <v>106</v>
      </c>
      <c r="R30" s="7" t="s">
        <v>678</v>
      </c>
      <c r="S30" s="7" t="s">
        <v>679</v>
      </c>
      <c r="T30" s="7" t="s">
        <v>104</v>
      </c>
      <c r="U30" s="7" t="s">
        <v>680</v>
      </c>
      <c r="V30" s="7" t="s">
        <v>106</v>
      </c>
      <c r="W30" s="7" t="s">
        <v>197</v>
      </c>
      <c r="X30" s="7" t="s">
        <v>681</v>
      </c>
      <c r="Y30" s="7" t="s">
        <v>242</v>
      </c>
      <c r="Z30" s="7" t="s">
        <v>682</v>
      </c>
      <c r="AA30" s="7" t="s">
        <v>106</v>
      </c>
      <c r="AB30" s="7" t="s">
        <v>683</v>
      </c>
      <c r="AC30" s="7" t="s">
        <v>684</v>
      </c>
      <c r="AD30" s="7" t="s">
        <v>685</v>
      </c>
      <c r="AE30" s="7" t="s">
        <v>106</v>
      </c>
      <c r="AF30" s="7" t="s">
        <v>686</v>
      </c>
      <c r="AG30" s="7" t="s">
        <v>687</v>
      </c>
      <c r="AH30" s="7" t="s">
        <v>688</v>
      </c>
      <c r="AI30" s="7" t="s">
        <v>689</v>
      </c>
      <c r="AJ30" s="7" t="s">
        <v>690</v>
      </c>
      <c r="AK30" s="10" t="s">
        <v>118</v>
      </c>
      <c r="AL30" s="10" t="s">
        <v>118</v>
      </c>
      <c r="AM30" s="10" t="s">
        <v>118</v>
      </c>
      <c r="AN30" s="10"/>
      <c r="AO30" s="7" t="str">
        <f aca="false">IF(AN30&lt;&gt;"","Exclude (duplicate)",IF(OR(AK30="Check",AL30="Check",AM30="Check"),"Check",IF(AND(AK30="Yes",AL30="Yes",AM30="Yes"),"Include","Exclude")))</f>
        <v>Include</v>
      </c>
      <c r="AP30" s="10"/>
      <c r="AQ30" s="10" t="s">
        <v>128</v>
      </c>
      <c r="AR30" s="10" t="s">
        <v>691</v>
      </c>
      <c r="AS30" s="10"/>
      <c r="AT30" s="7" t="str">
        <f aca="false">IF(AR30="","",IFERROR(INDEX(Libraries!$B:$B,MATCH(AR30,Libraries!$A:$A,0)),"ID not found"))</f>
        <v>GEO-CRADLE soil spectral library</v>
      </c>
    </row>
    <row r="31" customFormat="false" ht="45.75" hidden="false" customHeight="true" outlineLevel="0" collapsed="false">
      <c r="A31" s="7" t="s">
        <v>692</v>
      </c>
      <c r="B31" s="7" t="s">
        <v>693</v>
      </c>
      <c r="C31" s="7" t="s">
        <v>537</v>
      </c>
      <c r="D31" s="7" t="s">
        <v>694</v>
      </c>
      <c r="E31" s="7" t="s">
        <v>668</v>
      </c>
      <c r="F31" s="7" t="s">
        <v>669</v>
      </c>
      <c r="G31" s="7" t="s">
        <v>670</v>
      </c>
      <c r="H31" s="7" t="s">
        <v>695</v>
      </c>
      <c r="I31" s="7" t="s">
        <v>696</v>
      </c>
      <c r="J31" s="7" t="s">
        <v>673</v>
      </c>
      <c r="K31" s="7" t="s">
        <v>697</v>
      </c>
      <c r="L31" s="7" t="s">
        <v>348</v>
      </c>
      <c r="M31" s="7" t="s">
        <v>698</v>
      </c>
      <c r="N31" s="7" t="s">
        <v>699</v>
      </c>
      <c r="O31" s="7" t="s">
        <v>158</v>
      </c>
      <c r="P31" s="7" t="s">
        <v>700</v>
      </c>
      <c r="Q31" s="7" t="s">
        <v>191</v>
      </c>
      <c r="R31" s="7" t="s">
        <v>678</v>
      </c>
      <c r="S31" s="7" t="s">
        <v>193</v>
      </c>
      <c r="T31" s="7" t="s">
        <v>701</v>
      </c>
      <c r="U31" s="7" t="s">
        <v>702</v>
      </c>
      <c r="V31" s="7" t="s">
        <v>196</v>
      </c>
      <c r="W31" s="7" t="s">
        <v>703</v>
      </c>
      <c r="X31" s="7" t="s">
        <v>704</v>
      </c>
      <c r="Y31" s="7" t="s">
        <v>242</v>
      </c>
      <c r="Z31" s="7" t="s">
        <v>705</v>
      </c>
      <c r="AA31" s="7" t="s">
        <v>196</v>
      </c>
      <c r="AB31" s="7" t="s">
        <v>706</v>
      </c>
      <c r="AC31" s="7" t="s">
        <v>707</v>
      </c>
      <c r="AD31" s="7" t="s">
        <v>112</v>
      </c>
      <c r="AE31" s="7" t="s">
        <v>196</v>
      </c>
      <c r="AF31" s="7" t="s">
        <v>708</v>
      </c>
      <c r="AG31" s="7" t="s">
        <v>709</v>
      </c>
      <c r="AH31" s="7" t="s">
        <v>710</v>
      </c>
      <c r="AI31" s="7" t="s">
        <v>711</v>
      </c>
      <c r="AJ31" s="7" t="s">
        <v>712</v>
      </c>
      <c r="AK31" s="10" t="s">
        <v>118</v>
      </c>
      <c r="AL31" s="10" t="s">
        <v>118</v>
      </c>
      <c r="AM31" s="10" t="s">
        <v>118</v>
      </c>
      <c r="AN31" s="10"/>
      <c r="AO31" s="7" t="str">
        <f aca="false">IF(AN31&lt;&gt;"","Exclude (duplicate)",IF(OR(AK31="Check",AL31="Check",AM31="Check"),"Check",IF(AND(AK31="Yes",AL31="Yes",AM31="Yes"),"Include","Exclude")))</f>
        <v>Include</v>
      </c>
      <c r="AP31" s="10"/>
      <c r="AQ31" s="10" t="s">
        <v>119</v>
      </c>
      <c r="AR31" s="10" t="s">
        <v>691</v>
      </c>
      <c r="AS31" s="10"/>
      <c r="AT31" s="7" t="str">
        <f aca="false">IF(AR31="","",IFERROR(INDEX(Libraries!$B:$B,MATCH(AR31,Libraries!$A:$A,0)),"ID not found"))</f>
        <v>GEO-CRADLE soil spectral library</v>
      </c>
    </row>
    <row r="32" customFormat="false" ht="34.5" hidden="false" customHeight="true" outlineLevel="0" collapsed="false">
      <c r="A32" s="7" t="s">
        <v>713</v>
      </c>
      <c r="B32" s="7" t="s">
        <v>714</v>
      </c>
      <c r="C32" s="7" t="s">
        <v>458</v>
      </c>
      <c r="D32" s="7" t="s">
        <v>715</v>
      </c>
      <c r="E32" s="7" t="s">
        <v>716</v>
      </c>
      <c r="F32" s="7" t="s">
        <v>152</v>
      </c>
      <c r="G32" s="7" t="s">
        <v>717</v>
      </c>
      <c r="H32" s="7" t="s">
        <v>264</v>
      </c>
      <c r="I32" s="7" t="s">
        <v>718</v>
      </c>
      <c r="J32" s="7" t="s">
        <v>719</v>
      </c>
      <c r="K32" s="7" t="s">
        <v>720</v>
      </c>
      <c r="L32" s="7" t="s">
        <v>721</v>
      </c>
      <c r="M32" s="7" t="s">
        <v>722</v>
      </c>
      <c r="N32" s="7" t="s">
        <v>723</v>
      </c>
      <c r="O32" s="7" t="s">
        <v>724</v>
      </c>
      <c r="P32" s="7" t="s">
        <v>725</v>
      </c>
      <c r="Q32" s="7" t="s">
        <v>726</v>
      </c>
      <c r="R32" s="7" t="s">
        <v>727</v>
      </c>
      <c r="S32" s="7" t="s">
        <v>193</v>
      </c>
      <c r="T32" s="7" t="s">
        <v>728</v>
      </c>
      <c r="U32" s="7" t="s">
        <v>729</v>
      </c>
      <c r="V32" s="7" t="s">
        <v>730</v>
      </c>
      <c r="W32" s="7" t="s">
        <v>731</v>
      </c>
      <c r="X32" s="7" t="s">
        <v>732</v>
      </c>
      <c r="Y32" s="7" t="s">
        <v>733</v>
      </c>
      <c r="Z32" s="7" t="s">
        <v>734</v>
      </c>
      <c r="AA32" s="7" t="s">
        <v>735</v>
      </c>
      <c r="AB32" s="7" t="s">
        <v>736</v>
      </c>
      <c r="AC32" s="7" t="s">
        <v>737</v>
      </c>
      <c r="AD32" s="7" t="s">
        <v>738</v>
      </c>
      <c r="AE32" s="7" t="s">
        <v>739</v>
      </c>
      <c r="AF32" s="7" t="s">
        <v>740</v>
      </c>
      <c r="AG32" s="7" t="s">
        <v>741</v>
      </c>
      <c r="AH32" s="7" t="s">
        <v>742</v>
      </c>
      <c r="AI32" s="7" t="s">
        <v>743</v>
      </c>
      <c r="AJ32" s="7" t="s">
        <v>744</v>
      </c>
      <c r="AK32" s="10" t="s">
        <v>118</v>
      </c>
      <c r="AL32" s="10" t="s">
        <v>118</v>
      </c>
      <c r="AM32" s="10" t="s">
        <v>118</v>
      </c>
      <c r="AN32" s="10"/>
      <c r="AO32" s="7" t="str">
        <f aca="false">IF(AN32&lt;&gt;"","Exclude (duplicate)",IF(OR(AK32="Check",AL32="Check",AM32="Check"),"Check",IF(AND(AK32="Yes",AL32="Yes",AM32="Yes"),"Include","Exclude")))</f>
        <v>Include</v>
      </c>
      <c r="AP32" s="10"/>
      <c r="AQ32" s="10" t="s">
        <v>119</v>
      </c>
      <c r="AR32" s="10" t="s">
        <v>745</v>
      </c>
      <c r="AS32" s="10"/>
      <c r="AT32" s="7" t="str">
        <f aca="false">IF(AR32="","",IFERROR(INDEX(Libraries!$B:$B,MATCH(AR32,Libraries!$A:$A,0)),"ID not found"))</f>
        <v>Central African Soil Spectral Library</v>
      </c>
    </row>
    <row r="33" customFormat="false" ht="57" hidden="false" customHeight="true" outlineLevel="0" collapsed="false">
      <c r="A33" s="7" t="s">
        <v>746</v>
      </c>
      <c r="B33" s="7" t="s">
        <v>747</v>
      </c>
      <c r="C33" s="7" t="s">
        <v>93</v>
      </c>
      <c r="D33" s="7" t="s">
        <v>748</v>
      </c>
      <c r="E33" s="7" t="s">
        <v>749</v>
      </c>
      <c r="F33" s="7" t="s">
        <v>152</v>
      </c>
      <c r="G33" s="7" t="s">
        <v>750</v>
      </c>
      <c r="H33" s="7" t="s">
        <v>264</v>
      </c>
      <c r="I33" s="7" t="s">
        <v>751</v>
      </c>
      <c r="J33" s="7" t="s">
        <v>752</v>
      </c>
      <c r="K33" s="7" t="s">
        <v>753</v>
      </c>
      <c r="L33" s="7"/>
      <c r="M33" s="7"/>
      <c r="N33" s="7"/>
      <c r="O33" s="7"/>
      <c r="P33" s="7"/>
      <c r="Q33" s="7"/>
      <c r="R33" s="7"/>
      <c r="S33" s="7"/>
      <c r="T33" s="7"/>
      <c r="U33" s="7"/>
      <c r="V33" s="7"/>
      <c r="W33" s="7"/>
      <c r="X33" s="7"/>
      <c r="Y33" s="7"/>
      <c r="Z33" s="7"/>
      <c r="AA33" s="7"/>
      <c r="AB33" s="7"/>
      <c r="AC33" s="7"/>
      <c r="AD33" s="7"/>
      <c r="AE33" s="7"/>
      <c r="AF33" s="7"/>
      <c r="AG33" s="7"/>
      <c r="AH33" s="7"/>
      <c r="AI33" s="7"/>
      <c r="AJ33" s="7"/>
      <c r="AK33" s="10" t="s">
        <v>118</v>
      </c>
      <c r="AL33" s="10" t="s">
        <v>118</v>
      </c>
      <c r="AM33" s="10" t="s">
        <v>118</v>
      </c>
      <c r="AN33" s="10"/>
      <c r="AO33" s="7" t="str">
        <f aca="false">IF(AN33&lt;&gt;"","Exclude (duplicate)",IF(OR(AK33="Check",AL33="Check",AM33="Check"),"Check",IF(AND(AK33="Yes",AL33="Yes",AM33="Yes"),"Include","Exclude")))</f>
        <v>Include</v>
      </c>
      <c r="AP33" s="10"/>
      <c r="AQ33" s="10" t="s">
        <v>119</v>
      </c>
      <c r="AR33" s="10" t="s">
        <v>754</v>
      </c>
      <c r="AS33" s="10"/>
      <c r="AT33" s="7" t="str">
        <f aca="false">IF(AR33="","",IFERROR(INDEX(Libraries!$B:$B,MATCH(AR33,Libraries!$A:$A,0)),"ID not found"))</f>
        <v>West African NIR spectral library</v>
      </c>
    </row>
    <row r="34" customFormat="false" ht="45.75" hidden="false" customHeight="true" outlineLevel="0" collapsed="false">
      <c r="A34" s="7" t="s">
        <v>755</v>
      </c>
      <c r="B34" s="7" t="s">
        <v>756</v>
      </c>
      <c r="C34" s="7" t="s">
        <v>139</v>
      </c>
      <c r="D34" s="7" t="s">
        <v>757</v>
      </c>
      <c r="E34" s="7" t="s">
        <v>758</v>
      </c>
      <c r="F34" s="7" t="s">
        <v>152</v>
      </c>
      <c r="G34" s="7" t="s">
        <v>759</v>
      </c>
      <c r="H34" s="7" t="s">
        <v>229</v>
      </c>
      <c r="I34" s="7" t="s">
        <v>760</v>
      </c>
      <c r="J34" s="7" t="s">
        <v>761</v>
      </c>
      <c r="K34" s="7" t="s">
        <v>258</v>
      </c>
      <c r="L34" s="7"/>
      <c r="M34" s="7"/>
      <c r="N34" s="7"/>
      <c r="O34" s="7"/>
      <c r="P34" s="7"/>
      <c r="Q34" s="7"/>
      <c r="R34" s="7"/>
      <c r="S34" s="7"/>
      <c r="T34" s="7"/>
      <c r="U34" s="7"/>
      <c r="V34" s="7"/>
      <c r="W34" s="7"/>
      <c r="X34" s="7"/>
      <c r="Y34" s="7"/>
      <c r="Z34" s="7"/>
      <c r="AA34" s="7"/>
      <c r="AB34" s="7"/>
      <c r="AC34" s="7"/>
      <c r="AD34" s="7"/>
      <c r="AE34" s="7"/>
      <c r="AF34" s="7"/>
      <c r="AG34" s="7"/>
      <c r="AH34" s="7"/>
      <c r="AI34" s="7"/>
      <c r="AJ34" s="7"/>
      <c r="AK34" s="10" t="s">
        <v>118</v>
      </c>
      <c r="AL34" s="10" t="s">
        <v>118</v>
      </c>
      <c r="AM34" s="10" t="s">
        <v>118</v>
      </c>
      <c r="AN34" s="10"/>
      <c r="AO34" s="7" t="str">
        <f aca="false">IF(AN34&lt;&gt;"","Exclude (duplicate)",IF(OR(AK34="Check",AL34="Check",AM34="Check"),"Check",IF(AND(AK34="Yes",AL34="Yes",AM34="Yes"),"Include","Exclude")))</f>
        <v>Include</v>
      </c>
      <c r="AP34" s="10"/>
      <c r="AQ34" s="10" t="s">
        <v>128</v>
      </c>
      <c r="AR34" s="10" t="s">
        <v>762</v>
      </c>
      <c r="AS34" s="10"/>
      <c r="AT34" s="7" t="str">
        <f aca="false">IF(AR34="","",IFERROR(INDEX(Libraries!$B:$B,MATCH(AR34,Libraries!$A:$A,0)),"ID not found"))</f>
        <v>New South Wales regional SSL</v>
      </c>
    </row>
    <row r="35" customFormat="false" ht="45.75" hidden="false" customHeight="true" outlineLevel="0" collapsed="false">
      <c r="A35" s="7" t="s">
        <v>763</v>
      </c>
      <c r="B35" s="7" t="s">
        <v>764</v>
      </c>
      <c r="C35" s="7" t="s">
        <v>765</v>
      </c>
      <c r="D35" s="7" t="s">
        <v>766</v>
      </c>
      <c r="E35" s="7" t="s">
        <v>767</v>
      </c>
      <c r="F35" s="7" t="s">
        <v>152</v>
      </c>
      <c r="G35" s="7" t="s">
        <v>768</v>
      </c>
      <c r="H35" s="7" t="s">
        <v>229</v>
      </c>
      <c r="I35" s="7" t="s">
        <v>769</v>
      </c>
      <c r="J35" s="7" t="s">
        <v>770</v>
      </c>
      <c r="K35" s="7" t="s">
        <v>771</v>
      </c>
      <c r="L35" s="7" t="s">
        <v>772</v>
      </c>
      <c r="M35" s="7" t="s">
        <v>773</v>
      </c>
      <c r="N35" s="7" t="s">
        <v>188</v>
      </c>
      <c r="O35" s="7" t="s">
        <v>774</v>
      </c>
      <c r="P35" s="7" t="s">
        <v>775</v>
      </c>
      <c r="Q35" s="7" t="s">
        <v>106</v>
      </c>
      <c r="R35" s="7" t="s">
        <v>776</v>
      </c>
      <c r="S35" s="7" t="s">
        <v>193</v>
      </c>
      <c r="T35" s="7" t="s">
        <v>777</v>
      </c>
      <c r="U35" s="7" t="s">
        <v>778</v>
      </c>
      <c r="V35" s="7" t="s">
        <v>779</v>
      </c>
      <c r="W35" s="7" t="s">
        <v>780</v>
      </c>
      <c r="X35" s="7" t="s">
        <v>781</v>
      </c>
      <c r="Y35" s="7" t="s">
        <v>782</v>
      </c>
      <c r="Z35" s="7" t="s">
        <v>783</v>
      </c>
      <c r="AA35" s="7" t="s">
        <v>784</v>
      </c>
      <c r="AB35" s="7" t="s">
        <v>785</v>
      </c>
      <c r="AC35" s="7" t="s">
        <v>786</v>
      </c>
      <c r="AD35" s="7" t="s">
        <v>112</v>
      </c>
      <c r="AE35" s="7" t="s">
        <v>106</v>
      </c>
      <c r="AF35" s="7" t="s">
        <v>787</v>
      </c>
      <c r="AG35" s="7" t="s">
        <v>788</v>
      </c>
      <c r="AH35" s="7" t="s">
        <v>789</v>
      </c>
      <c r="AI35" s="7" t="s">
        <v>790</v>
      </c>
      <c r="AJ35" s="7" t="s">
        <v>791</v>
      </c>
      <c r="AK35" s="10" t="s">
        <v>118</v>
      </c>
      <c r="AL35" s="10" t="s">
        <v>118</v>
      </c>
      <c r="AM35" s="10" t="s">
        <v>118</v>
      </c>
      <c r="AN35" s="10"/>
      <c r="AO35" s="7" t="str">
        <f aca="false">IF(AN35&lt;&gt;"","Exclude (duplicate)",IF(OR(AK35="Check",AL35="Check",AM35="Check"),"Check",IF(AND(AK35="Yes",AL35="Yes",AM35="Yes"),"Include","Exclude")))</f>
        <v>Include</v>
      </c>
      <c r="AP35" s="10"/>
      <c r="AQ35" s="10" t="s">
        <v>119</v>
      </c>
      <c r="AR35" s="10" t="s">
        <v>792</v>
      </c>
      <c r="AS35" s="10"/>
      <c r="AT35" s="7" t="str">
        <f aca="false">IF(AR35="","",IFERROR(INDEX(Libraries!$B:$B,MATCH(AR35,Libraries!$A:$A,0)),"ID not found"))</f>
        <v>Eastern Australia cotton-region MIR library</v>
      </c>
    </row>
    <row r="36" customFormat="false" ht="57" hidden="false" customHeight="true" outlineLevel="0" collapsed="false">
      <c r="A36" s="7" t="s">
        <v>793</v>
      </c>
      <c r="B36" s="7" t="s">
        <v>794</v>
      </c>
      <c r="C36" s="7" t="s">
        <v>616</v>
      </c>
      <c r="D36" s="7" t="s">
        <v>795</v>
      </c>
      <c r="E36" s="7" t="s">
        <v>95</v>
      </c>
      <c r="F36" s="7" t="s">
        <v>215</v>
      </c>
      <c r="G36" s="7" t="s">
        <v>796</v>
      </c>
      <c r="H36" s="7" t="s">
        <v>135</v>
      </c>
      <c r="I36" s="7" t="s">
        <v>797</v>
      </c>
      <c r="J36" s="7" t="s">
        <v>798</v>
      </c>
      <c r="K36" s="7" t="s">
        <v>155</v>
      </c>
      <c r="L36" s="7"/>
      <c r="M36" s="7"/>
      <c r="N36" s="7"/>
      <c r="O36" s="7"/>
      <c r="P36" s="7"/>
      <c r="Q36" s="7"/>
      <c r="R36" s="7"/>
      <c r="S36" s="7"/>
      <c r="T36" s="7"/>
      <c r="U36" s="7"/>
      <c r="V36" s="7"/>
      <c r="W36" s="7"/>
      <c r="X36" s="7"/>
      <c r="Y36" s="7"/>
      <c r="Z36" s="7"/>
      <c r="AA36" s="7"/>
      <c r="AB36" s="7"/>
      <c r="AC36" s="7"/>
      <c r="AD36" s="7"/>
      <c r="AE36" s="7"/>
      <c r="AF36" s="7"/>
      <c r="AG36" s="7"/>
      <c r="AH36" s="7"/>
      <c r="AI36" s="7"/>
      <c r="AJ36" s="7"/>
      <c r="AK36" s="10" t="s">
        <v>118</v>
      </c>
      <c r="AL36" s="10" t="s">
        <v>118</v>
      </c>
      <c r="AM36" s="10" t="s">
        <v>118</v>
      </c>
      <c r="AN36" s="10"/>
      <c r="AO36" s="7" t="str">
        <f aca="false">IF(AN36&lt;&gt;"","Exclude (duplicate)",IF(OR(AK36="Check",AL36="Check",AM36="Check"),"Check",IF(AND(AK36="Yes",AL36="Yes",AM36="Yes"),"Include","Exclude")))</f>
        <v>Include</v>
      </c>
      <c r="AP36" s="10"/>
      <c r="AQ36" s="10" t="s">
        <v>128</v>
      </c>
      <c r="AR36" s="10" t="s">
        <v>409</v>
      </c>
      <c r="AS36" s="10"/>
      <c r="AT36" s="7" t="str">
        <f aca="false">IF(AR36="","",IFERROR(INDEX(Libraries!$B:$B,MATCH(AR36,Libraries!$A:$A,0)),"ID not found"))</f>
        <v>LUCAS topsoil vis-NIR library</v>
      </c>
    </row>
    <row r="37" customFormat="false" ht="57" hidden="false" customHeight="true" outlineLevel="0" collapsed="false">
      <c r="A37" s="7" t="s">
        <v>799</v>
      </c>
      <c r="B37" s="7" t="s">
        <v>800</v>
      </c>
      <c r="C37" s="7" t="s">
        <v>225</v>
      </c>
      <c r="D37" s="7" t="s">
        <v>801</v>
      </c>
      <c r="E37" s="7" t="s">
        <v>802</v>
      </c>
      <c r="F37" s="7" t="s">
        <v>181</v>
      </c>
      <c r="G37" s="7" t="s">
        <v>368</v>
      </c>
      <c r="H37" s="7" t="s">
        <v>803</v>
      </c>
      <c r="I37" s="7" t="s">
        <v>804</v>
      </c>
      <c r="J37" s="7" t="s">
        <v>805</v>
      </c>
      <c r="K37" s="7" t="s">
        <v>806</v>
      </c>
      <c r="L37" s="7" t="s">
        <v>807</v>
      </c>
      <c r="M37" s="7" t="s">
        <v>808</v>
      </c>
      <c r="N37" s="7" t="s">
        <v>278</v>
      </c>
      <c r="O37" s="7" t="s">
        <v>809</v>
      </c>
      <c r="P37" s="7" t="s">
        <v>810</v>
      </c>
      <c r="Q37" s="7" t="s">
        <v>811</v>
      </c>
      <c r="R37" s="7" t="s">
        <v>812</v>
      </c>
      <c r="S37" s="7" t="s">
        <v>193</v>
      </c>
      <c r="T37" s="7" t="s">
        <v>813</v>
      </c>
      <c r="U37" s="7" t="s">
        <v>814</v>
      </c>
      <c r="V37" s="7" t="s">
        <v>815</v>
      </c>
      <c r="W37" s="7" t="s">
        <v>197</v>
      </c>
      <c r="X37" s="7" t="s">
        <v>816</v>
      </c>
      <c r="Y37" s="7" t="s">
        <v>817</v>
      </c>
      <c r="Z37" s="7" t="s">
        <v>818</v>
      </c>
      <c r="AA37" s="7" t="s">
        <v>819</v>
      </c>
      <c r="AB37" s="7" t="s">
        <v>820</v>
      </c>
      <c r="AC37" s="7" t="s">
        <v>821</v>
      </c>
      <c r="AD37" s="7" t="s">
        <v>112</v>
      </c>
      <c r="AE37" s="7" t="s">
        <v>822</v>
      </c>
      <c r="AF37" s="7" t="s">
        <v>823</v>
      </c>
      <c r="AG37" s="7" t="s">
        <v>824</v>
      </c>
      <c r="AH37" s="7" t="s">
        <v>825</v>
      </c>
      <c r="AI37" s="7" t="s">
        <v>826</v>
      </c>
      <c r="AJ37" s="7" t="s">
        <v>827</v>
      </c>
      <c r="AK37" s="10" t="s">
        <v>118</v>
      </c>
      <c r="AL37" s="10" t="s">
        <v>118</v>
      </c>
      <c r="AM37" s="10" t="s">
        <v>118</v>
      </c>
      <c r="AN37" s="10"/>
      <c r="AO37" s="7" t="str">
        <f aca="false">IF(AN37&lt;&gt;"","Exclude (duplicate)",IF(OR(AK37="Check",AL37="Check",AM37="Check"),"Check",IF(AND(AK37="Yes",AL37="Yes",AM37="Yes"),"Include","Exclude")))</f>
        <v>Include</v>
      </c>
      <c r="AP37" s="10"/>
      <c r="AQ37" s="10" t="s">
        <v>329</v>
      </c>
      <c r="AR37" s="10" t="s">
        <v>409</v>
      </c>
      <c r="AS37" s="10" t="s">
        <v>147</v>
      </c>
      <c r="AT37" s="7" t="str">
        <f aca="false">IF(AR37="","",IFERROR(INDEX(Libraries!$B:$B,MATCH(AR37,Libraries!$A:$A,0)),"ID not found"))</f>
        <v>LUCAS topsoil vis-NIR library</v>
      </c>
    </row>
    <row r="38" customFormat="false" ht="45.75" hidden="false" customHeight="true" outlineLevel="0" collapsed="false">
      <c r="A38" s="7" t="s">
        <v>828</v>
      </c>
      <c r="B38" s="7" t="s">
        <v>829</v>
      </c>
      <c r="C38" s="7" t="s">
        <v>616</v>
      </c>
      <c r="D38" s="7" t="s">
        <v>830</v>
      </c>
      <c r="E38" s="7" t="s">
        <v>831</v>
      </c>
      <c r="F38" s="7" t="s">
        <v>152</v>
      </c>
      <c r="G38" s="7" t="s">
        <v>832</v>
      </c>
      <c r="H38" s="7" t="s">
        <v>143</v>
      </c>
      <c r="I38" s="7" t="s">
        <v>833</v>
      </c>
      <c r="J38" s="7" t="s">
        <v>834</v>
      </c>
      <c r="K38" s="7" t="s">
        <v>835</v>
      </c>
      <c r="L38" s="7" t="s">
        <v>348</v>
      </c>
      <c r="M38" s="7" t="s">
        <v>836</v>
      </c>
      <c r="N38" s="7" t="s">
        <v>472</v>
      </c>
      <c r="O38" s="7" t="s">
        <v>158</v>
      </c>
      <c r="P38" s="7" t="s">
        <v>159</v>
      </c>
      <c r="Q38" s="7" t="s">
        <v>106</v>
      </c>
      <c r="R38" s="7" t="s">
        <v>238</v>
      </c>
      <c r="S38" s="7" t="s">
        <v>193</v>
      </c>
      <c r="T38" s="7" t="s">
        <v>837</v>
      </c>
      <c r="U38" s="7" t="s">
        <v>838</v>
      </c>
      <c r="V38" s="7" t="s">
        <v>106</v>
      </c>
      <c r="W38" s="7" t="s">
        <v>839</v>
      </c>
      <c r="X38" s="7" t="s">
        <v>840</v>
      </c>
      <c r="Y38" s="7" t="s">
        <v>841</v>
      </c>
      <c r="Z38" s="7" t="s">
        <v>842</v>
      </c>
      <c r="AA38" s="7" t="s">
        <v>106</v>
      </c>
      <c r="AB38" s="7" t="s">
        <v>843</v>
      </c>
      <c r="AC38" s="7" t="s">
        <v>844</v>
      </c>
      <c r="AD38" s="7" t="s">
        <v>112</v>
      </c>
      <c r="AE38" s="7" t="s">
        <v>106</v>
      </c>
      <c r="AF38" s="7" t="s">
        <v>845</v>
      </c>
      <c r="AG38" s="7" t="s">
        <v>846</v>
      </c>
      <c r="AH38" s="7" t="s">
        <v>847</v>
      </c>
      <c r="AI38" s="7" t="s">
        <v>848</v>
      </c>
      <c r="AJ38" s="7" t="s">
        <v>849</v>
      </c>
      <c r="AK38" s="10" t="s">
        <v>118</v>
      </c>
      <c r="AL38" s="10" t="s">
        <v>118</v>
      </c>
      <c r="AM38" s="10" t="s">
        <v>118</v>
      </c>
      <c r="AN38" s="10"/>
      <c r="AO38" s="7" t="str">
        <f aca="false">IF(AN38&lt;&gt;"","Exclude (duplicate)",IF(OR(AK38="Check",AL38="Check",AM38="Check"),"Check",IF(AND(AK38="Yes",AL38="Yes",AM38="Yes"),"Include","Exclude")))</f>
        <v>Include</v>
      </c>
      <c r="AP38" s="10"/>
      <c r="AQ38" s="10" t="s">
        <v>128</v>
      </c>
      <c r="AR38" s="10" t="s">
        <v>850</v>
      </c>
      <c r="AS38" s="10"/>
      <c r="AT38" s="7" t="str">
        <f aca="false">IF(AR38="","",IFERROR(INDEX(Libraries!$B:$B,MATCH(AR38,Libraries!$A:$A,0)),"ID not found"))</f>
        <v>Subtropical soil spectral library (southern Brazil)</v>
      </c>
    </row>
    <row r="39" customFormat="false" ht="45.75" hidden="false" customHeight="true" outlineLevel="0" collapsed="false">
      <c r="A39" s="7" t="s">
        <v>851</v>
      </c>
      <c r="B39" s="7" t="s">
        <v>852</v>
      </c>
      <c r="C39" s="7" t="s">
        <v>560</v>
      </c>
      <c r="D39" s="7" t="s">
        <v>853</v>
      </c>
      <c r="E39" s="11" t="s">
        <v>180</v>
      </c>
      <c r="F39" s="7" t="s">
        <v>181</v>
      </c>
      <c r="G39" s="7" t="s">
        <v>854</v>
      </c>
      <c r="H39" s="7" t="s">
        <v>135</v>
      </c>
      <c r="I39" s="7" t="s">
        <v>855</v>
      </c>
      <c r="J39" s="7" t="s">
        <v>856</v>
      </c>
      <c r="K39" s="7" t="s">
        <v>857</v>
      </c>
      <c r="L39" s="7" t="s">
        <v>858</v>
      </c>
      <c r="M39" s="7" t="s">
        <v>859</v>
      </c>
      <c r="N39" s="7" t="s">
        <v>472</v>
      </c>
      <c r="O39" s="7" t="s">
        <v>860</v>
      </c>
      <c r="P39" s="7" t="s">
        <v>861</v>
      </c>
      <c r="Q39" s="7" t="s">
        <v>106</v>
      </c>
      <c r="R39" s="7" t="s">
        <v>238</v>
      </c>
      <c r="S39" s="7" t="s">
        <v>862</v>
      </c>
      <c r="T39" s="7" t="s">
        <v>863</v>
      </c>
      <c r="U39" s="7" t="s">
        <v>864</v>
      </c>
      <c r="V39" s="7" t="s">
        <v>106</v>
      </c>
      <c r="W39" s="7" t="s">
        <v>865</v>
      </c>
      <c r="X39" s="7" t="s">
        <v>866</v>
      </c>
      <c r="Y39" s="7" t="s">
        <v>867</v>
      </c>
      <c r="Z39" s="7" t="s">
        <v>868</v>
      </c>
      <c r="AA39" s="7" t="s">
        <v>869</v>
      </c>
      <c r="AB39" s="7" t="s">
        <v>870</v>
      </c>
      <c r="AC39" s="7" t="s">
        <v>871</v>
      </c>
      <c r="AD39" s="7" t="s">
        <v>112</v>
      </c>
      <c r="AE39" s="7" t="s">
        <v>872</v>
      </c>
      <c r="AF39" s="7" t="s">
        <v>873</v>
      </c>
      <c r="AG39" s="7" t="s">
        <v>874</v>
      </c>
      <c r="AH39" s="7" t="s">
        <v>875</v>
      </c>
      <c r="AI39" s="7" t="s">
        <v>876</v>
      </c>
      <c r="AJ39" s="7" t="s">
        <v>877</v>
      </c>
      <c r="AK39" s="10" t="s">
        <v>118</v>
      </c>
      <c r="AL39" s="10" t="s">
        <v>118</v>
      </c>
      <c r="AM39" s="10" t="s">
        <v>118</v>
      </c>
      <c r="AN39" s="10"/>
      <c r="AO39" s="7" t="str">
        <f aca="false">IF(AN39&lt;&gt;"","Exclude (duplicate)",IF(OR(AK39="Check",AL39="Check",AM39="Check"),"Check",IF(AND(AK39="Yes",AL39="Yes",AM39="Yes"),"Include","Exclude")))</f>
        <v>Include</v>
      </c>
      <c r="AP39" s="10"/>
      <c r="AQ39" s="10" t="s">
        <v>128</v>
      </c>
      <c r="AR39" s="10" t="s">
        <v>409</v>
      </c>
      <c r="AS39" s="10"/>
      <c r="AT39" s="7" t="str">
        <f aca="false">IF(AR39="","",IFERROR(INDEX(Libraries!$B:$B,MATCH(AR39,Libraries!$A:$A,0)),"ID not found"))</f>
        <v>LUCAS topsoil vis-NIR library</v>
      </c>
    </row>
    <row r="40" customFormat="false" ht="34.5" hidden="false" customHeight="true" outlineLevel="0" collapsed="false">
      <c r="A40" s="7" t="s">
        <v>878</v>
      </c>
      <c r="B40" s="7" t="s">
        <v>879</v>
      </c>
      <c r="C40" s="7" t="s">
        <v>225</v>
      </c>
      <c r="D40" s="7" t="s">
        <v>880</v>
      </c>
      <c r="E40" s="11" t="s">
        <v>881</v>
      </c>
      <c r="F40" s="7" t="s">
        <v>215</v>
      </c>
      <c r="G40" s="7" t="s">
        <v>882</v>
      </c>
      <c r="H40" s="7" t="s">
        <v>229</v>
      </c>
      <c r="I40" s="7" t="s">
        <v>883</v>
      </c>
      <c r="J40" s="7" t="s">
        <v>884</v>
      </c>
      <c r="K40" s="7" t="s">
        <v>885</v>
      </c>
      <c r="L40" s="7" t="s">
        <v>886</v>
      </c>
      <c r="M40" s="7" t="s">
        <v>887</v>
      </c>
      <c r="N40" s="7" t="s">
        <v>472</v>
      </c>
      <c r="O40" s="7" t="s">
        <v>888</v>
      </c>
      <c r="P40" s="7" t="s">
        <v>889</v>
      </c>
      <c r="Q40" s="7" t="s">
        <v>890</v>
      </c>
      <c r="R40" s="7" t="s">
        <v>891</v>
      </c>
      <c r="S40" s="7" t="s">
        <v>892</v>
      </c>
      <c r="T40" s="7" t="s">
        <v>893</v>
      </c>
      <c r="U40" s="7" t="s">
        <v>894</v>
      </c>
      <c r="V40" s="7" t="s">
        <v>895</v>
      </c>
      <c r="W40" s="7" t="s">
        <v>896</v>
      </c>
      <c r="X40" s="7" t="s">
        <v>897</v>
      </c>
      <c r="Y40" s="7" t="s">
        <v>898</v>
      </c>
      <c r="Z40" s="7" t="s">
        <v>899</v>
      </c>
      <c r="AA40" s="7" t="s">
        <v>106</v>
      </c>
      <c r="AB40" s="7" t="s">
        <v>900</v>
      </c>
      <c r="AC40" s="7" t="s">
        <v>901</v>
      </c>
      <c r="AD40" s="7" t="s">
        <v>112</v>
      </c>
      <c r="AE40" s="7" t="s">
        <v>106</v>
      </c>
      <c r="AF40" s="7" t="s">
        <v>902</v>
      </c>
      <c r="AG40" s="7" t="s">
        <v>903</v>
      </c>
      <c r="AH40" s="7" t="s">
        <v>904</v>
      </c>
      <c r="AI40" s="7" t="s">
        <v>905</v>
      </c>
      <c r="AJ40" s="7" t="s">
        <v>906</v>
      </c>
      <c r="AK40" s="10" t="s">
        <v>118</v>
      </c>
      <c r="AL40" s="10" t="s">
        <v>118</v>
      </c>
      <c r="AM40" s="10" t="s">
        <v>118</v>
      </c>
      <c r="AN40" s="10"/>
      <c r="AO40" s="7" t="str">
        <f aca="false">IF(AN40&lt;&gt;"","Exclude (duplicate)",IF(OR(AK40="Check",AL40="Check",AM40="Check"),"Check",IF(AND(AK40="Yes",AL40="Yes",AM40="Yes"),"Include","Exclude")))</f>
        <v>Include</v>
      </c>
      <c r="AP40" s="10"/>
      <c r="AQ40" s="10" t="s">
        <v>128</v>
      </c>
      <c r="AR40" s="10" t="s">
        <v>907</v>
      </c>
      <c r="AS40" s="10"/>
      <c r="AT40" s="7" t="str">
        <f aca="false">IF(AR40="","",IFERROR(INDEX(Libraries!$B:$B,MATCH(AR40,Libraries!$A:$A,0)),"ID not found"))</f>
        <v>Australian soil vis-NIR spectroscopic database</v>
      </c>
    </row>
    <row r="41" customFormat="false" ht="90.75" hidden="false" customHeight="true" outlineLevel="0" collapsed="false">
      <c r="A41" s="7" t="s">
        <v>908</v>
      </c>
      <c r="B41" s="7" t="s">
        <v>909</v>
      </c>
      <c r="C41" s="7" t="s">
        <v>225</v>
      </c>
      <c r="D41" s="7" t="s">
        <v>910</v>
      </c>
      <c r="E41" s="7" t="s">
        <v>911</v>
      </c>
      <c r="F41" s="7" t="s">
        <v>152</v>
      </c>
      <c r="G41" s="7" t="s">
        <v>912</v>
      </c>
      <c r="H41" s="7" t="s">
        <v>126</v>
      </c>
      <c r="I41" s="7" t="s">
        <v>913</v>
      </c>
      <c r="J41" s="7" t="s">
        <v>914</v>
      </c>
      <c r="K41" s="7" t="s">
        <v>697</v>
      </c>
      <c r="L41" s="7"/>
      <c r="M41" s="7"/>
      <c r="N41" s="7"/>
      <c r="O41" s="7"/>
      <c r="P41" s="7"/>
      <c r="Q41" s="7"/>
      <c r="R41" s="7"/>
      <c r="S41" s="7"/>
      <c r="T41" s="7"/>
      <c r="U41" s="7"/>
      <c r="V41" s="7"/>
      <c r="W41" s="7"/>
      <c r="X41" s="7"/>
      <c r="Y41" s="7"/>
      <c r="Z41" s="7"/>
      <c r="AA41" s="7"/>
      <c r="AB41" s="7"/>
      <c r="AC41" s="7"/>
      <c r="AD41" s="7"/>
      <c r="AE41" s="7"/>
      <c r="AF41" s="7"/>
      <c r="AG41" s="7"/>
      <c r="AH41" s="7"/>
      <c r="AI41" s="7"/>
      <c r="AJ41" s="7"/>
      <c r="AK41" s="10" t="s">
        <v>118</v>
      </c>
      <c r="AL41" s="10" t="s">
        <v>118</v>
      </c>
      <c r="AM41" s="10" t="s">
        <v>118</v>
      </c>
      <c r="AN41" s="10"/>
      <c r="AO41" s="7" t="str">
        <f aca="false">IF(AN41&lt;&gt;"","Exclude (duplicate)",IF(OR(AK41="Check",AL41="Check",AM41="Check"),"Check",IF(AND(AK41="Yes",AL41="Yes",AM41="Yes"),"Include","Exclude")))</f>
        <v>Include</v>
      </c>
      <c r="AP41" s="10"/>
      <c r="AQ41" s="10" t="s">
        <v>128</v>
      </c>
      <c r="AR41" s="10" t="s">
        <v>915</v>
      </c>
      <c r="AS41" s="10"/>
      <c r="AT41" s="7" t="str">
        <f aca="false">IF(AR41="","",IFERROR(INDEX(Libraries!$B:$B,MATCH(AR41,Libraries!$A:$A,0)),"ID not found"))</f>
        <v>Zhejiang provincial SSL (ZSSL)</v>
      </c>
    </row>
    <row r="42" customFormat="false" ht="45.75" hidden="false" customHeight="true" outlineLevel="0" collapsed="false">
      <c r="A42" s="7" t="s">
        <v>916</v>
      </c>
      <c r="B42" s="7" t="s">
        <v>917</v>
      </c>
      <c r="C42" s="7" t="s">
        <v>123</v>
      </c>
      <c r="D42" s="7" t="s">
        <v>918</v>
      </c>
      <c r="E42" s="7" t="s">
        <v>919</v>
      </c>
      <c r="F42" s="7" t="s">
        <v>23</v>
      </c>
      <c r="G42" s="7" t="s">
        <v>142</v>
      </c>
      <c r="H42" s="7" t="s">
        <v>143</v>
      </c>
      <c r="I42" s="7" t="s">
        <v>920</v>
      </c>
      <c r="J42" s="7" t="s">
        <v>921</v>
      </c>
      <c r="K42" s="7" t="s">
        <v>922</v>
      </c>
      <c r="L42" s="7"/>
      <c r="M42" s="7"/>
      <c r="N42" s="7"/>
      <c r="O42" s="7"/>
      <c r="P42" s="7"/>
      <c r="Q42" s="7"/>
      <c r="R42" s="7"/>
      <c r="S42" s="7"/>
      <c r="T42" s="7"/>
      <c r="U42" s="7"/>
      <c r="V42" s="7"/>
      <c r="W42" s="7"/>
      <c r="X42" s="7"/>
      <c r="Y42" s="7"/>
      <c r="Z42" s="7"/>
      <c r="AA42" s="7"/>
      <c r="AB42" s="7"/>
      <c r="AC42" s="7"/>
      <c r="AD42" s="7"/>
      <c r="AE42" s="7"/>
      <c r="AF42" s="7"/>
      <c r="AG42" s="7"/>
      <c r="AH42" s="7"/>
      <c r="AI42" s="7"/>
      <c r="AJ42" s="7"/>
      <c r="AK42" s="10" t="s">
        <v>118</v>
      </c>
      <c r="AL42" s="10" t="s">
        <v>118</v>
      </c>
      <c r="AM42" s="10" t="s">
        <v>118</v>
      </c>
      <c r="AN42" s="10"/>
      <c r="AO42" s="7" t="str">
        <f aca="false">IF(AN42&lt;&gt;"","Exclude (duplicate)",IF(OR(AK42="Check",AL42="Check",AM42="Check"),"Check",IF(AND(AK42="Yes",AL42="Yes",AM42="Yes"),"Include","Exclude")))</f>
        <v>Include</v>
      </c>
      <c r="AP42" s="10"/>
      <c r="AQ42" s="10" t="s">
        <v>128</v>
      </c>
      <c r="AR42" s="10" t="s">
        <v>923</v>
      </c>
      <c r="AS42" s="10"/>
      <c r="AT42" s="7" t="str">
        <f aca="false">IF(AR42="","",IFERROR(INDEX(Libraries!$B:$B,MATCH(AR42,Libraries!$A:$A,0)),"ID not found"))</f>
        <v>Brazilian Soil Spectral Service (BraSpecS)</v>
      </c>
    </row>
    <row r="43" customFormat="false" ht="34.5" hidden="false" customHeight="true" outlineLevel="0" collapsed="false">
      <c r="A43" s="7" t="s">
        <v>924</v>
      </c>
      <c r="B43" s="7" t="s">
        <v>925</v>
      </c>
      <c r="C43" s="7" t="s">
        <v>213</v>
      </c>
      <c r="D43" s="7" t="s">
        <v>926</v>
      </c>
      <c r="E43" s="7" t="s">
        <v>95</v>
      </c>
      <c r="F43" s="7" t="s">
        <v>23</v>
      </c>
      <c r="G43" s="7" t="s">
        <v>927</v>
      </c>
      <c r="H43" s="7" t="s">
        <v>135</v>
      </c>
      <c r="I43" s="7" t="s">
        <v>928</v>
      </c>
      <c r="J43" s="7" t="s">
        <v>929</v>
      </c>
      <c r="K43" s="7" t="s">
        <v>930</v>
      </c>
      <c r="L43" s="7" t="s">
        <v>931</v>
      </c>
      <c r="M43" s="7" t="s">
        <v>932</v>
      </c>
      <c r="N43" s="7" t="s">
        <v>350</v>
      </c>
      <c r="O43" s="7" t="s">
        <v>351</v>
      </c>
      <c r="P43" s="7" t="s">
        <v>933</v>
      </c>
      <c r="Q43" s="7" t="s">
        <v>106</v>
      </c>
      <c r="R43" s="7" t="s">
        <v>934</v>
      </c>
      <c r="S43" s="7" t="s">
        <v>193</v>
      </c>
      <c r="T43" s="7" t="s">
        <v>935</v>
      </c>
      <c r="U43" s="7" t="s">
        <v>936</v>
      </c>
      <c r="V43" s="7" t="s">
        <v>106</v>
      </c>
      <c r="W43" s="7" t="s">
        <v>197</v>
      </c>
      <c r="X43" s="7" t="s">
        <v>937</v>
      </c>
      <c r="Y43" s="7" t="s">
        <v>938</v>
      </c>
      <c r="Z43" s="7" t="s">
        <v>939</v>
      </c>
      <c r="AA43" s="7" t="s">
        <v>106</v>
      </c>
      <c r="AB43" s="7" t="s">
        <v>940</v>
      </c>
      <c r="AC43" s="7" t="s">
        <v>941</v>
      </c>
      <c r="AD43" s="7" t="s">
        <v>942</v>
      </c>
      <c r="AE43" s="7" t="s">
        <v>943</v>
      </c>
      <c r="AF43" s="7" t="s">
        <v>944</v>
      </c>
      <c r="AG43" s="7" t="s">
        <v>945</v>
      </c>
      <c r="AH43" s="7" t="s">
        <v>946</v>
      </c>
      <c r="AI43" s="7" t="s">
        <v>947</v>
      </c>
      <c r="AJ43" s="7" t="s">
        <v>948</v>
      </c>
      <c r="AK43" s="10" t="s">
        <v>118</v>
      </c>
      <c r="AL43" s="10" t="s">
        <v>118</v>
      </c>
      <c r="AM43" s="10" t="s">
        <v>118</v>
      </c>
      <c r="AN43" s="10"/>
      <c r="AO43" s="7" t="str">
        <f aca="false">IF(AN43&lt;&gt;"","Exclude (duplicate)",IF(OR(AK43="Check",AL43="Check",AM43="Check"),"Check",IF(AND(AK43="Yes",AL43="Yes",AM43="Yes"),"Include","Exclude")))</f>
        <v>Include</v>
      </c>
      <c r="AP43" s="10"/>
      <c r="AQ43" s="10" t="s">
        <v>119</v>
      </c>
      <c r="AR43" s="10" t="s">
        <v>949</v>
      </c>
      <c r="AS43" s="10"/>
      <c r="AT43" s="7" t="str">
        <f aca="false">IF(AR43="","",IFERROR(INDEX(Libraries!$B:$B,MATCH(AR43,Libraries!$A:$A,0)),"ID not found"))</f>
        <v>Austrian NIR soil spectral library</v>
      </c>
    </row>
    <row r="44" customFormat="false" ht="45.75" hidden="false" customHeight="true" outlineLevel="0" collapsed="false">
      <c r="A44" s="7" t="s">
        <v>950</v>
      </c>
      <c r="B44" s="7" t="s">
        <v>951</v>
      </c>
      <c r="C44" s="7" t="s">
        <v>213</v>
      </c>
      <c r="D44" s="7" t="s">
        <v>952</v>
      </c>
      <c r="E44" s="7" t="s">
        <v>95</v>
      </c>
      <c r="F44" s="7" t="s">
        <v>215</v>
      </c>
      <c r="G44" s="7" t="s">
        <v>953</v>
      </c>
      <c r="H44" s="7" t="s">
        <v>126</v>
      </c>
      <c r="I44" s="7" t="s">
        <v>954</v>
      </c>
      <c r="J44" s="7" t="s">
        <v>955</v>
      </c>
      <c r="K44" s="7" t="s">
        <v>956</v>
      </c>
      <c r="L44" s="7"/>
      <c r="M44" s="7"/>
      <c r="N44" s="7"/>
      <c r="O44" s="7"/>
      <c r="P44" s="7"/>
      <c r="Q44" s="7"/>
      <c r="R44" s="7"/>
      <c r="S44" s="7"/>
      <c r="T44" s="7"/>
      <c r="U44" s="7"/>
      <c r="V44" s="7"/>
      <c r="W44" s="7"/>
      <c r="X44" s="7"/>
      <c r="Y44" s="7"/>
      <c r="Z44" s="7"/>
      <c r="AA44" s="7"/>
      <c r="AB44" s="7"/>
      <c r="AC44" s="7"/>
      <c r="AD44" s="7"/>
      <c r="AE44" s="7"/>
      <c r="AF44" s="7"/>
      <c r="AG44" s="7"/>
      <c r="AH44" s="7"/>
      <c r="AI44" s="7"/>
      <c r="AJ44" s="7"/>
      <c r="AK44" s="10" t="s">
        <v>118</v>
      </c>
      <c r="AL44" s="10" t="s">
        <v>118</v>
      </c>
      <c r="AM44" s="10" t="s">
        <v>220</v>
      </c>
      <c r="AN44" s="10"/>
      <c r="AO44" s="7" t="str">
        <f aca="false">IF(AN44&lt;&gt;"","Exclude (duplicate)",IF(OR(AK44="Check",AL44="Check",AM44="Check"),"Check",IF(AND(AK44="Yes",AL44="Yes",AM44="Yes"),"Include","Exclude")))</f>
        <v>Exclude</v>
      </c>
      <c r="AP44" s="10" t="s">
        <v>957</v>
      </c>
      <c r="AQ44" s="10" t="s">
        <v>222</v>
      </c>
      <c r="AR44" s="10"/>
      <c r="AS44" s="10"/>
      <c r="AT44" s="7" t="str">
        <f aca="false">IF(AR44="","",IFERROR(INDEX(Libraries!$B:$B,MATCH(AR44,Libraries!$A:$A,0)),"ID not found"))</f>
        <v/>
      </c>
    </row>
    <row r="45" customFormat="false" ht="57" hidden="false" customHeight="true" outlineLevel="0" collapsed="false">
      <c r="A45" s="7" t="s">
        <v>958</v>
      </c>
      <c r="B45" s="7" t="s">
        <v>959</v>
      </c>
      <c r="C45" s="7" t="s">
        <v>458</v>
      </c>
      <c r="D45" s="7" t="s">
        <v>960</v>
      </c>
      <c r="E45" s="7" t="s">
        <v>95</v>
      </c>
      <c r="F45" s="7" t="s">
        <v>152</v>
      </c>
      <c r="G45" s="7" t="s">
        <v>539</v>
      </c>
      <c r="H45" s="7" t="s">
        <v>143</v>
      </c>
      <c r="I45" s="7" t="s">
        <v>961</v>
      </c>
      <c r="J45" s="7" t="s">
        <v>962</v>
      </c>
      <c r="K45" s="7" t="s">
        <v>963</v>
      </c>
      <c r="L45" s="7" t="s">
        <v>964</v>
      </c>
      <c r="M45" s="7" t="s">
        <v>965</v>
      </c>
      <c r="N45" s="7" t="s">
        <v>188</v>
      </c>
      <c r="O45" s="7" t="s">
        <v>774</v>
      </c>
      <c r="P45" s="7" t="s">
        <v>966</v>
      </c>
      <c r="Q45" s="7" t="s">
        <v>106</v>
      </c>
      <c r="R45" s="7" t="s">
        <v>238</v>
      </c>
      <c r="S45" s="7" t="s">
        <v>193</v>
      </c>
      <c r="T45" s="7" t="s">
        <v>967</v>
      </c>
      <c r="U45" s="7" t="s">
        <v>968</v>
      </c>
      <c r="V45" s="7" t="s">
        <v>106</v>
      </c>
      <c r="W45" s="7" t="s">
        <v>197</v>
      </c>
      <c r="X45" s="7" t="s">
        <v>969</v>
      </c>
      <c r="Y45" s="7" t="s">
        <v>970</v>
      </c>
      <c r="Z45" s="7" t="s">
        <v>971</v>
      </c>
      <c r="AA45" s="7" t="s">
        <v>106</v>
      </c>
      <c r="AB45" s="7" t="s">
        <v>972</v>
      </c>
      <c r="AC45" s="7" t="s">
        <v>973</v>
      </c>
      <c r="AD45" s="7" t="s">
        <v>112</v>
      </c>
      <c r="AE45" s="7" t="s">
        <v>106</v>
      </c>
      <c r="AF45" s="7" t="s">
        <v>974</v>
      </c>
      <c r="AG45" s="7" t="s">
        <v>975</v>
      </c>
      <c r="AH45" s="7" t="s">
        <v>976</v>
      </c>
      <c r="AI45" s="7" t="s">
        <v>977</v>
      </c>
      <c r="AJ45" s="7" t="s">
        <v>978</v>
      </c>
      <c r="AK45" s="10" t="s">
        <v>118</v>
      </c>
      <c r="AL45" s="10" t="s">
        <v>118</v>
      </c>
      <c r="AM45" s="10" t="s">
        <v>220</v>
      </c>
      <c r="AN45" s="10"/>
      <c r="AO45" s="7" t="str">
        <f aca="false">IF(AN45&lt;&gt;"","Exclude (duplicate)",IF(OR(AK45="Check",AL45="Check",AM45="Check"),"Check",IF(AND(AK45="Yes",AL45="Yes",AM45="Yes"),"Include","Exclude")))</f>
        <v>Exclude</v>
      </c>
      <c r="AP45" s="10" t="s">
        <v>979</v>
      </c>
      <c r="AQ45" s="10" t="s">
        <v>222</v>
      </c>
      <c r="AR45" s="10"/>
      <c r="AS45" s="10"/>
      <c r="AT45" s="7" t="str">
        <f aca="false">IF(AR45="","",IFERROR(INDEX(Libraries!$B:$B,MATCH(AR45,Libraries!$A:$A,0)),"ID not found"))</f>
        <v/>
      </c>
    </row>
    <row r="46" customFormat="false" ht="45.75" hidden="false" customHeight="true" outlineLevel="0" collapsed="false">
      <c r="A46" s="7" t="s">
        <v>980</v>
      </c>
      <c r="B46" s="7" t="s">
        <v>981</v>
      </c>
      <c r="C46" s="7" t="s">
        <v>139</v>
      </c>
      <c r="D46" s="7" t="s">
        <v>982</v>
      </c>
      <c r="E46" s="7" t="s">
        <v>95</v>
      </c>
      <c r="F46" s="7" t="s">
        <v>983</v>
      </c>
      <c r="G46" s="7" t="s">
        <v>796</v>
      </c>
      <c r="H46" s="7" t="s">
        <v>135</v>
      </c>
      <c r="I46" s="7" t="s">
        <v>984</v>
      </c>
      <c r="J46" s="7" t="s">
        <v>985</v>
      </c>
      <c r="K46" s="7" t="s">
        <v>185</v>
      </c>
      <c r="L46" s="7"/>
      <c r="M46" s="7"/>
      <c r="N46" s="7"/>
      <c r="O46" s="7"/>
      <c r="P46" s="7"/>
      <c r="Q46" s="7"/>
      <c r="R46" s="7"/>
      <c r="S46" s="7"/>
      <c r="T46" s="7"/>
      <c r="U46" s="7"/>
      <c r="V46" s="7"/>
      <c r="W46" s="7"/>
      <c r="X46" s="7"/>
      <c r="Y46" s="7"/>
      <c r="Z46" s="7"/>
      <c r="AA46" s="7"/>
      <c r="AB46" s="7"/>
      <c r="AC46" s="7"/>
      <c r="AD46" s="7"/>
      <c r="AE46" s="7"/>
      <c r="AF46" s="7"/>
      <c r="AG46" s="7"/>
      <c r="AH46" s="7"/>
      <c r="AI46" s="7"/>
      <c r="AJ46" s="7"/>
      <c r="AK46" s="10" t="s">
        <v>118</v>
      </c>
      <c r="AL46" s="10" t="s">
        <v>118</v>
      </c>
      <c r="AM46" s="10" t="s">
        <v>220</v>
      </c>
      <c r="AN46" s="10"/>
      <c r="AO46" s="7" t="str">
        <f aca="false">IF(AN46&lt;&gt;"","Exclude (duplicate)",IF(OR(AK46="Check",AL46="Check",AM46="Check"),"Check",IF(AND(AK46="Yes",AL46="Yes",AM46="Yes"),"Include","Exclude")))</f>
        <v>Exclude</v>
      </c>
      <c r="AP46" s="10" t="s">
        <v>986</v>
      </c>
      <c r="AQ46" s="10" t="s">
        <v>222</v>
      </c>
      <c r="AR46" s="10"/>
      <c r="AS46" s="10"/>
      <c r="AT46" s="7" t="str">
        <f aca="false">IF(AR46="","",IFERROR(INDEX(Libraries!$B:$B,MATCH(AR46,Libraries!$A:$A,0)),"ID not found"))</f>
        <v/>
      </c>
    </row>
    <row r="47" customFormat="false" ht="34.5" hidden="false" customHeight="true" outlineLevel="0" collapsed="false">
      <c r="A47" s="7" t="s">
        <v>987</v>
      </c>
      <c r="B47" s="7" t="s">
        <v>988</v>
      </c>
      <c r="C47" s="7" t="s">
        <v>989</v>
      </c>
      <c r="D47" s="7" t="s">
        <v>990</v>
      </c>
      <c r="E47" s="7" t="s">
        <v>991</v>
      </c>
      <c r="F47" s="7" t="s">
        <v>20</v>
      </c>
      <c r="G47" s="7" t="s">
        <v>466</v>
      </c>
      <c r="H47" s="7" t="s">
        <v>467</v>
      </c>
      <c r="I47" s="7" t="s">
        <v>992</v>
      </c>
      <c r="J47" s="7" t="s">
        <v>993</v>
      </c>
      <c r="K47" s="7" t="s">
        <v>994</v>
      </c>
      <c r="L47" s="7" t="s">
        <v>995</v>
      </c>
      <c r="M47" s="7" t="s">
        <v>996</v>
      </c>
      <c r="N47" s="7" t="s">
        <v>997</v>
      </c>
      <c r="O47" s="7" t="s">
        <v>998</v>
      </c>
      <c r="P47" s="7" t="s">
        <v>999</v>
      </c>
      <c r="Q47" s="7" t="s">
        <v>1000</v>
      </c>
      <c r="R47" s="7" t="s">
        <v>1001</v>
      </c>
      <c r="S47" s="7" t="s">
        <v>1002</v>
      </c>
      <c r="T47" s="7" t="s">
        <v>1003</v>
      </c>
      <c r="U47" s="7" t="s">
        <v>1004</v>
      </c>
      <c r="V47" s="7" t="s">
        <v>1005</v>
      </c>
      <c r="W47" s="7" t="s">
        <v>1006</v>
      </c>
      <c r="X47" s="7" t="s">
        <v>1007</v>
      </c>
      <c r="Y47" s="7" t="s">
        <v>1006</v>
      </c>
      <c r="Z47" s="7" t="s">
        <v>1006</v>
      </c>
      <c r="AA47" s="7" t="s">
        <v>1008</v>
      </c>
      <c r="AB47" s="7" t="s">
        <v>1009</v>
      </c>
      <c r="AC47" s="7" t="s">
        <v>1010</v>
      </c>
      <c r="AD47" s="7" t="s">
        <v>1011</v>
      </c>
      <c r="AE47" s="7" t="s">
        <v>1012</v>
      </c>
      <c r="AF47" s="7" t="s">
        <v>1013</v>
      </c>
      <c r="AG47" s="7" t="s">
        <v>1014</v>
      </c>
      <c r="AH47" s="7" t="s">
        <v>1015</v>
      </c>
      <c r="AI47" s="7" t="s">
        <v>1016</v>
      </c>
      <c r="AJ47" s="7" t="s">
        <v>1017</v>
      </c>
      <c r="AK47" s="10" t="s">
        <v>220</v>
      </c>
      <c r="AL47" s="10" t="s">
        <v>118</v>
      </c>
      <c r="AM47" s="10" t="s">
        <v>118</v>
      </c>
      <c r="AN47" s="10"/>
      <c r="AO47" s="7" t="str">
        <f aca="false">IF(AN47&lt;&gt;"","Exclude (duplicate)",IF(OR(AK47="Check",AL47="Check",AM47="Check"),"Check",IF(AND(AK47="Yes",AL47="Yes",AM47="Yes"),"Include","Exclude")))</f>
        <v>Exclude</v>
      </c>
      <c r="AP47" s="10" t="s">
        <v>1018</v>
      </c>
      <c r="AQ47" s="10" t="s">
        <v>222</v>
      </c>
      <c r="AR47" s="10"/>
      <c r="AS47" s="10"/>
      <c r="AT47" s="7" t="str">
        <f aca="false">IF(AR47="","",IFERROR(INDEX(Libraries!$B:$B,MATCH(AR47,Libraries!$A:$A,0)),"ID not found"))</f>
        <v/>
      </c>
    </row>
    <row r="48" customFormat="false" ht="68.25" hidden="false" customHeight="true" outlineLevel="0" collapsed="false">
      <c r="A48" s="7" t="s">
        <v>1019</v>
      </c>
      <c r="B48" s="7" t="s">
        <v>1020</v>
      </c>
      <c r="C48" s="7" t="s">
        <v>989</v>
      </c>
      <c r="D48" s="7" t="s">
        <v>1021</v>
      </c>
      <c r="E48" s="7" t="s">
        <v>1022</v>
      </c>
      <c r="F48" s="7" t="s">
        <v>215</v>
      </c>
      <c r="G48" s="7" t="s">
        <v>1023</v>
      </c>
      <c r="H48" s="7" t="s">
        <v>467</v>
      </c>
      <c r="I48" s="7" t="s">
        <v>1024</v>
      </c>
      <c r="J48" s="7" t="s">
        <v>1025</v>
      </c>
      <c r="K48" s="7" t="s">
        <v>885</v>
      </c>
      <c r="L48" s="7" t="s">
        <v>1026</v>
      </c>
      <c r="M48" s="7" t="s">
        <v>1027</v>
      </c>
      <c r="N48" s="7" t="s">
        <v>1028</v>
      </c>
      <c r="O48" s="7" t="s">
        <v>1029</v>
      </c>
      <c r="P48" s="7" t="s">
        <v>1030</v>
      </c>
      <c r="Q48" s="7" t="s">
        <v>106</v>
      </c>
      <c r="R48" s="7" t="s">
        <v>1031</v>
      </c>
      <c r="S48" s="7" t="s">
        <v>1032</v>
      </c>
      <c r="T48" s="7" t="s">
        <v>1033</v>
      </c>
      <c r="U48" s="7" t="s">
        <v>1034</v>
      </c>
      <c r="V48" s="7" t="s">
        <v>106</v>
      </c>
      <c r="W48" s="7" t="s">
        <v>197</v>
      </c>
      <c r="X48" s="7" t="s">
        <v>1035</v>
      </c>
      <c r="Y48" s="7" t="s">
        <v>1036</v>
      </c>
      <c r="Z48" s="7" t="s">
        <v>1037</v>
      </c>
      <c r="AA48" s="7" t="s">
        <v>106</v>
      </c>
      <c r="AB48" s="7" t="s">
        <v>1038</v>
      </c>
      <c r="AC48" s="7" t="s">
        <v>1039</v>
      </c>
      <c r="AD48" s="7" t="s">
        <v>112</v>
      </c>
      <c r="AE48" s="7" t="s">
        <v>106</v>
      </c>
      <c r="AF48" s="7" t="s">
        <v>106</v>
      </c>
      <c r="AG48" s="7" t="s">
        <v>1040</v>
      </c>
      <c r="AH48" s="7" t="s">
        <v>1041</v>
      </c>
      <c r="AI48" s="7" t="s">
        <v>1042</v>
      </c>
      <c r="AJ48" s="7" t="s">
        <v>1043</v>
      </c>
      <c r="AK48" s="10" t="s">
        <v>118</v>
      </c>
      <c r="AL48" s="10" t="s">
        <v>118</v>
      </c>
      <c r="AM48" s="10" t="s">
        <v>220</v>
      </c>
      <c r="AN48" s="10"/>
      <c r="AO48" s="7" t="str">
        <f aca="false">IF(AN48&lt;&gt;"","Exclude (duplicate)",IF(OR(AK48="Check",AL48="Check",AM48="Check"),"Check",IF(AND(AK48="Yes",AL48="Yes",AM48="Yes"),"Include","Exclude")))</f>
        <v>Exclude</v>
      </c>
      <c r="AP48" s="10" t="s">
        <v>1044</v>
      </c>
      <c r="AQ48" s="10" t="s">
        <v>222</v>
      </c>
      <c r="AR48" s="10"/>
      <c r="AS48" s="10"/>
      <c r="AT48" s="7" t="str">
        <f aca="false">IF(AR48="","",IFERROR(INDEX(Libraries!$B:$B,MATCH(AR48,Libraries!$A:$A,0)),"ID not found"))</f>
        <v/>
      </c>
    </row>
    <row r="49" customFormat="false" ht="79.5" hidden="false" customHeight="true" outlineLevel="0" collapsed="false">
      <c r="A49" s="7" t="s">
        <v>1045</v>
      </c>
      <c r="B49" s="7" t="s">
        <v>1046</v>
      </c>
      <c r="C49" s="7" t="s">
        <v>458</v>
      </c>
      <c r="D49" s="7" t="s">
        <v>1047</v>
      </c>
      <c r="E49" s="7" t="s">
        <v>1048</v>
      </c>
      <c r="F49" s="7" t="s">
        <v>152</v>
      </c>
      <c r="G49" s="7" t="s">
        <v>1049</v>
      </c>
      <c r="H49" s="7" t="s">
        <v>143</v>
      </c>
      <c r="I49" s="7" t="s">
        <v>1050</v>
      </c>
      <c r="J49" s="7" t="s">
        <v>1051</v>
      </c>
      <c r="K49" s="7" t="s">
        <v>1052</v>
      </c>
      <c r="L49" s="7"/>
      <c r="M49" s="7"/>
      <c r="N49" s="7"/>
      <c r="O49" s="7"/>
      <c r="P49" s="7"/>
      <c r="Q49" s="7"/>
      <c r="R49" s="7"/>
      <c r="S49" s="7"/>
      <c r="T49" s="7"/>
      <c r="U49" s="7"/>
      <c r="V49" s="7"/>
      <c r="W49" s="7"/>
      <c r="X49" s="7"/>
      <c r="Y49" s="7"/>
      <c r="Z49" s="7"/>
      <c r="AA49" s="7"/>
      <c r="AB49" s="7"/>
      <c r="AC49" s="7"/>
      <c r="AD49" s="7"/>
      <c r="AE49" s="7"/>
      <c r="AF49" s="7"/>
      <c r="AG49" s="7"/>
      <c r="AH49" s="7"/>
      <c r="AI49" s="7"/>
      <c r="AJ49" s="7"/>
      <c r="AK49" s="10" t="s">
        <v>118</v>
      </c>
      <c r="AL49" s="10" t="s">
        <v>118</v>
      </c>
      <c r="AM49" s="10" t="s">
        <v>118</v>
      </c>
      <c r="AN49" s="10"/>
      <c r="AO49" s="7" t="str">
        <f aca="false">IF(AN49&lt;&gt;"","Exclude (duplicate)",IF(OR(AK49="Check",AL49="Check",AM49="Check"),"Check",IF(AND(AK49="Yes",AL49="Yes",AM49="Yes"),"Include","Exclude")))</f>
        <v>Include</v>
      </c>
      <c r="AP49" s="10"/>
      <c r="AQ49" s="10" t="s">
        <v>119</v>
      </c>
      <c r="AR49" s="10" t="s">
        <v>1053</v>
      </c>
      <c r="AS49" s="10"/>
      <c r="AT49" s="7" t="str">
        <f aca="false">IF(AR49="","",IFERROR(INDEX(Libraries!$B:$B,MATCH(AR49,Libraries!$A:$A,0)),"ID not found"))</f>
        <v>Soil spectral library of Piauí State</v>
      </c>
    </row>
    <row r="50" customFormat="false" ht="45.75" hidden="false" customHeight="true" outlineLevel="0" collapsed="false">
      <c r="A50" s="7" t="s">
        <v>1054</v>
      </c>
      <c r="B50" s="7" t="s">
        <v>1055</v>
      </c>
      <c r="C50" s="7" t="s">
        <v>1056</v>
      </c>
      <c r="D50" s="7" t="s">
        <v>1057</v>
      </c>
      <c r="E50" s="7" t="s">
        <v>1058</v>
      </c>
      <c r="F50" s="7" t="s">
        <v>152</v>
      </c>
      <c r="G50" s="7" t="s">
        <v>1059</v>
      </c>
      <c r="H50" s="7" t="s">
        <v>135</v>
      </c>
      <c r="I50" s="7" t="s">
        <v>1060</v>
      </c>
      <c r="J50" s="7" t="s">
        <v>1061</v>
      </c>
      <c r="K50" s="7" t="s">
        <v>1062</v>
      </c>
      <c r="L50" s="7" t="s">
        <v>1063</v>
      </c>
      <c r="M50" s="7" t="s">
        <v>1064</v>
      </c>
      <c r="N50" s="7" t="s">
        <v>472</v>
      </c>
      <c r="O50" s="7" t="s">
        <v>158</v>
      </c>
      <c r="P50" s="7" t="s">
        <v>1065</v>
      </c>
      <c r="Q50" s="7" t="s">
        <v>106</v>
      </c>
      <c r="R50" s="7" t="s">
        <v>1066</v>
      </c>
      <c r="S50" s="7" t="s">
        <v>1067</v>
      </c>
      <c r="T50" s="7" t="s">
        <v>1068</v>
      </c>
      <c r="U50" s="7" t="s">
        <v>1069</v>
      </c>
      <c r="V50" s="7" t="s">
        <v>1070</v>
      </c>
      <c r="W50" s="7" t="s">
        <v>197</v>
      </c>
      <c r="X50" s="7" t="s">
        <v>1071</v>
      </c>
      <c r="Y50" s="7" t="s">
        <v>242</v>
      </c>
      <c r="Z50" s="7" t="s">
        <v>1072</v>
      </c>
      <c r="AA50" s="7" t="s">
        <v>106</v>
      </c>
      <c r="AB50" s="7" t="s">
        <v>1073</v>
      </c>
      <c r="AC50" s="7" t="s">
        <v>1074</v>
      </c>
      <c r="AD50" s="7" t="s">
        <v>112</v>
      </c>
      <c r="AE50" s="7" t="s">
        <v>106</v>
      </c>
      <c r="AF50" s="7" t="s">
        <v>106</v>
      </c>
      <c r="AG50" s="7" t="s">
        <v>1075</v>
      </c>
      <c r="AH50" s="7" t="s">
        <v>1076</v>
      </c>
      <c r="AI50" s="7" t="s">
        <v>1077</v>
      </c>
      <c r="AJ50" s="7" t="s">
        <v>1078</v>
      </c>
      <c r="AK50" s="10" t="s">
        <v>118</v>
      </c>
      <c r="AL50" s="10" t="s">
        <v>118</v>
      </c>
      <c r="AM50" s="10" t="s">
        <v>118</v>
      </c>
      <c r="AN50" s="10"/>
      <c r="AO50" s="7" t="str">
        <f aca="false">IF(AN50&lt;&gt;"","Exclude (duplicate)",IF(OR(AK50="Check",AL50="Check",AM50="Check"),"Check",IF(AND(AK50="Yes",AL50="Yes",AM50="Yes"),"Include","Exclude")))</f>
        <v>Include</v>
      </c>
      <c r="AP50" s="10"/>
      <c r="AQ50" s="10" t="s">
        <v>119</v>
      </c>
      <c r="AR50" s="10" t="s">
        <v>1079</v>
      </c>
      <c r="AS50" s="10"/>
      <c r="AT50" s="7" t="str">
        <f aca="false">IF(AR50="","",IFERROR(INDEX(Libraries!$B:$B,MATCH(AR50,Libraries!$A:$A,0)),"ID not found"))</f>
        <v>Calabria forest soil vis-NIR dataset</v>
      </c>
    </row>
    <row r="51" customFormat="false" ht="57" hidden="false" customHeight="true" outlineLevel="0" collapsed="false">
      <c r="A51" s="7" t="s">
        <v>1080</v>
      </c>
      <c r="B51" s="7" t="s">
        <v>1081</v>
      </c>
      <c r="C51" s="7" t="s">
        <v>412</v>
      </c>
      <c r="D51" s="7" t="s">
        <v>1082</v>
      </c>
      <c r="E51" s="7" t="s">
        <v>1083</v>
      </c>
      <c r="F51" s="7" t="s">
        <v>23</v>
      </c>
      <c r="G51" s="7" t="s">
        <v>563</v>
      </c>
      <c r="H51" s="7" t="s">
        <v>126</v>
      </c>
      <c r="I51" s="7" t="s">
        <v>1084</v>
      </c>
      <c r="J51" s="7" t="s">
        <v>1085</v>
      </c>
      <c r="K51" s="7" t="s">
        <v>697</v>
      </c>
      <c r="L51" s="7" t="s">
        <v>348</v>
      </c>
      <c r="M51" s="7" t="s">
        <v>1086</v>
      </c>
      <c r="N51" s="7" t="s">
        <v>472</v>
      </c>
      <c r="O51" s="7" t="s">
        <v>158</v>
      </c>
      <c r="P51" s="7" t="s">
        <v>1087</v>
      </c>
      <c r="Q51" s="7" t="s">
        <v>106</v>
      </c>
      <c r="R51" s="7" t="s">
        <v>238</v>
      </c>
      <c r="S51" s="7" t="s">
        <v>193</v>
      </c>
      <c r="T51" s="7" t="s">
        <v>1088</v>
      </c>
      <c r="U51" s="7" t="s">
        <v>1089</v>
      </c>
      <c r="V51" s="7" t="s">
        <v>106</v>
      </c>
      <c r="W51" s="7" t="s">
        <v>1090</v>
      </c>
      <c r="X51" s="7" t="s">
        <v>1091</v>
      </c>
      <c r="Y51" s="7" t="s">
        <v>1092</v>
      </c>
      <c r="Z51" s="7" t="s">
        <v>1093</v>
      </c>
      <c r="AA51" s="7" t="s">
        <v>106</v>
      </c>
      <c r="AB51" s="7" t="s">
        <v>706</v>
      </c>
      <c r="AC51" s="7" t="s">
        <v>577</v>
      </c>
      <c r="AD51" s="7" t="s">
        <v>112</v>
      </c>
      <c r="AE51" s="7" t="s">
        <v>106</v>
      </c>
      <c r="AF51" s="7" t="s">
        <v>1094</v>
      </c>
      <c r="AG51" s="7" t="s">
        <v>1095</v>
      </c>
      <c r="AH51" s="7" t="s">
        <v>1096</v>
      </c>
      <c r="AI51" s="7" t="s">
        <v>1097</v>
      </c>
      <c r="AJ51" s="7" t="s">
        <v>1098</v>
      </c>
      <c r="AK51" s="10" t="s">
        <v>118</v>
      </c>
      <c r="AL51" s="10" t="s">
        <v>118</v>
      </c>
      <c r="AM51" s="10" t="s">
        <v>118</v>
      </c>
      <c r="AN51" s="10"/>
      <c r="AO51" s="7" t="str">
        <f aca="false">IF(AN51&lt;&gt;"","Exclude (duplicate)",IF(OR(AK51="Check",AL51="Check",AM51="Check"),"Check",IF(AND(AK51="Yes",AL51="Yes",AM51="Yes"),"Include","Exclude")))</f>
        <v>Include</v>
      </c>
      <c r="AP51" s="10"/>
      <c r="AQ51" s="10" t="s">
        <v>128</v>
      </c>
      <c r="AR51" s="10" t="s">
        <v>583</v>
      </c>
      <c r="AS51" s="10"/>
      <c r="AT51" s="7" t="str">
        <f aca="false">IF(AR51="","",IFERROR(INDEX(Libraries!$B:$B,MATCH(AR51,Libraries!$A:$A,0)),"ID not found"))</f>
        <v>Chinese Soil Spectral Library (CSSL)</v>
      </c>
    </row>
    <row r="52" customFormat="false" ht="45.75" hidden="false" customHeight="true" outlineLevel="0" collapsed="false">
      <c r="A52" s="7" t="s">
        <v>1099</v>
      </c>
      <c r="B52" s="7" t="s">
        <v>1100</v>
      </c>
      <c r="C52" s="7" t="s">
        <v>1101</v>
      </c>
      <c r="D52" s="7" t="s">
        <v>1102</v>
      </c>
      <c r="E52" s="7" t="s">
        <v>1103</v>
      </c>
      <c r="F52" s="7" t="s">
        <v>152</v>
      </c>
      <c r="G52" s="7" t="s">
        <v>1104</v>
      </c>
      <c r="H52" s="7" t="s">
        <v>264</v>
      </c>
      <c r="I52" s="7" t="s">
        <v>1105</v>
      </c>
      <c r="J52" s="7" t="s">
        <v>1106</v>
      </c>
      <c r="K52" s="7" t="s">
        <v>258</v>
      </c>
      <c r="L52" s="7" t="s">
        <v>348</v>
      </c>
      <c r="M52" s="7" t="s">
        <v>1107</v>
      </c>
      <c r="N52" s="7" t="s">
        <v>278</v>
      </c>
      <c r="O52" s="7" t="s">
        <v>1108</v>
      </c>
      <c r="P52" s="7" t="s">
        <v>1109</v>
      </c>
      <c r="Q52" s="7" t="s">
        <v>106</v>
      </c>
      <c r="R52" s="7" t="s">
        <v>1110</v>
      </c>
      <c r="S52" s="7" t="s">
        <v>193</v>
      </c>
      <c r="T52" s="7" t="s">
        <v>1111</v>
      </c>
      <c r="U52" s="7" t="s">
        <v>702</v>
      </c>
      <c r="V52" s="7" t="s">
        <v>106</v>
      </c>
      <c r="W52" s="7" t="s">
        <v>1112</v>
      </c>
      <c r="X52" s="7" t="s">
        <v>1113</v>
      </c>
      <c r="Y52" s="7" t="s">
        <v>1114</v>
      </c>
      <c r="Z52" s="7" t="s">
        <v>1115</v>
      </c>
      <c r="AA52" s="7" t="s">
        <v>1116</v>
      </c>
      <c r="AB52" s="7" t="s">
        <v>1117</v>
      </c>
      <c r="AC52" s="7" t="s">
        <v>1118</v>
      </c>
      <c r="AD52" s="7" t="s">
        <v>112</v>
      </c>
      <c r="AE52" s="7" t="s">
        <v>106</v>
      </c>
      <c r="AF52" s="7" t="s">
        <v>106</v>
      </c>
      <c r="AG52" s="7" t="s">
        <v>1119</v>
      </c>
      <c r="AH52" s="7" t="s">
        <v>1120</v>
      </c>
      <c r="AI52" s="7" t="s">
        <v>1121</v>
      </c>
      <c r="AJ52" s="7" t="s">
        <v>1122</v>
      </c>
      <c r="AK52" s="10" t="s">
        <v>118</v>
      </c>
      <c r="AL52" s="10" t="s">
        <v>118</v>
      </c>
      <c r="AM52" s="10" t="s">
        <v>118</v>
      </c>
      <c r="AN52" s="10"/>
      <c r="AO52" s="7" t="str">
        <f aca="false">IF(AN52&lt;&gt;"","Exclude (duplicate)",IF(OR(AK52="Check",AL52="Check",AM52="Check"),"Check",IF(AND(AK52="Yes",AL52="Yes",AM52="Yes"),"Include","Exclude")))</f>
        <v>Include</v>
      </c>
      <c r="AP52" s="10"/>
      <c r="AQ52" s="10" t="s">
        <v>119</v>
      </c>
      <c r="AR52" s="10" t="s">
        <v>1123</v>
      </c>
      <c r="AS52" s="10"/>
      <c r="AT52" s="7" t="str">
        <f aca="false">IF(AR52="","",IFERROR(INDEX(Libraries!$B:$B,MATCH(AR52,Libraries!$A:$A,0)),"ID not found"))</f>
        <v>ICRAF Eastern &amp; Southern Africa reflectance library</v>
      </c>
    </row>
    <row r="53" customFormat="false" ht="57" hidden="false" customHeight="true" outlineLevel="0" collapsed="false">
      <c r="A53" s="7" t="s">
        <v>1124</v>
      </c>
      <c r="B53" s="7" t="s">
        <v>1125</v>
      </c>
      <c r="C53" s="7" t="s">
        <v>1126</v>
      </c>
      <c r="D53" s="7" t="s">
        <v>1127</v>
      </c>
      <c r="E53" s="7" t="s">
        <v>1128</v>
      </c>
      <c r="F53" s="7" t="s">
        <v>23</v>
      </c>
      <c r="G53" s="7" t="s">
        <v>1129</v>
      </c>
      <c r="H53" s="7" t="s">
        <v>135</v>
      </c>
      <c r="I53" s="7" t="s">
        <v>1130</v>
      </c>
      <c r="J53" s="7" t="s">
        <v>1131</v>
      </c>
      <c r="K53" s="7" t="s">
        <v>155</v>
      </c>
      <c r="L53" s="7" t="s">
        <v>348</v>
      </c>
      <c r="M53" s="7" t="s">
        <v>1132</v>
      </c>
      <c r="N53" s="7" t="s">
        <v>472</v>
      </c>
      <c r="O53" s="7" t="s">
        <v>1133</v>
      </c>
      <c r="P53" s="7" t="s">
        <v>1134</v>
      </c>
      <c r="Q53" s="7" t="s">
        <v>106</v>
      </c>
      <c r="R53" s="7" t="s">
        <v>238</v>
      </c>
      <c r="S53" s="7" t="s">
        <v>193</v>
      </c>
      <c r="T53" s="7" t="s">
        <v>104</v>
      </c>
      <c r="U53" s="7" t="s">
        <v>1135</v>
      </c>
      <c r="V53" s="7" t="s">
        <v>106</v>
      </c>
      <c r="W53" s="7" t="s">
        <v>1136</v>
      </c>
      <c r="X53" s="7" t="s">
        <v>1137</v>
      </c>
      <c r="Y53" s="7" t="s">
        <v>1138</v>
      </c>
      <c r="Z53" s="7" t="s">
        <v>1139</v>
      </c>
      <c r="AA53" s="7" t="s">
        <v>106</v>
      </c>
      <c r="AB53" s="7" t="s">
        <v>1140</v>
      </c>
      <c r="AC53" s="7" t="s">
        <v>1141</v>
      </c>
      <c r="AD53" s="7" t="s">
        <v>112</v>
      </c>
      <c r="AE53" s="7" t="s">
        <v>106</v>
      </c>
      <c r="AF53" s="7" t="s">
        <v>1142</v>
      </c>
      <c r="AG53" s="7" t="s">
        <v>1143</v>
      </c>
      <c r="AH53" s="7" t="s">
        <v>1144</v>
      </c>
      <c r="AI53" s="7" t="s">
        <v>1145</v>
      </c>
      <c r="AJ53" s="7" t="s">
        <v>1146</v>
      </c>
      <c r="AK53" s="10" t="s">
        <v>118</v>
      </c>
      <c r="AL53" s="10" t="s">
        <v>118</v>
      </c>
      <c r="AM53" s="10" t="s">
        <v>118</v>
      </c>
      <c r="AN53" s="10"/>
      <c r="AO53" s="7" t="str">
        <f aca="false">IF(AN53&lt;&gt;"","Exclude (duplicate)",IF(OR(AK53="Check",AL53="Check",AM53="Check"),"Check",IF(AND(AK53="Yes",AL53="Yes",AM53="Yes"),"Include","Exclude")))</f>
        <v>Include</v>
      </c>
      <c r="AP53" s="10"/>
      <c r="AQ53" s="10" t="s">
        <v>128</v>
      </c>
      <c r="AR53" s="10" t="s">
        <v>1147</v>
      </c>
      <c r="AS53" s="10"/>
      <c r="AT53" s="7" t="str">
        <f aca="false">IF(AR53="","",IFERROR(INDEX(Libraries!$B:$B,MATCH(AR53,Libraries!$A:$A,0)),"ID not found"))</f>
        <v>Danish national vis-NIR library</v>
      </c>
    </row>
    <row r="54" customFormat="false" ht="45.75" hidden="false" customHeight="true" outlineLevel="0" collapsed="false">
      <c r="A54" s="7" t="s">
        <v>1148</v>
      </c>
      <c r="B54" s="7" t="s">
        <v>1149</v>
      </c>
      <c r="C54" s="7" t="s">
        <v>537</v>
      </c>
      <c r="D54" s="7" t="s">
        <v>1150</v>
      </c>
      <c r="E54" s="7" t="s">
        <v>1151</v>
      </c>
      <c r="F54" s="7" t="s">
        <v>20</v>
      </c>
      <c r="G54" s="7" t="s">
        <v>368</v>
      </c>
      <c r="H54" s="7" t="s">
        <v>368</v>
      </c>
      <c r="I54" s="7" t="s">
        <v>1152</v>
      </c>
      <c r="J54" s="7" t="s">
        <v>1153</v>
      </c>
      <c r="K54" s="7" t="s">
        <v>1154</v>
      </c>
      <c r="L54" s="7" t="s">
        <v>1155</v>
      </c>
      <c r="M54" s="7" t="s">
        <v>1156</v>
      </c>
      <c r="N54" s="7" t="s">
        <v>1157</v>
      </c>
      <c r="O54" s="7" t="s">
        <v>1158</v>
      </c>
      <c r="P54" s="7" t="s">
        <v>1159</v>
      </c>
      <c r="Q54" s="7" t="s">
        <v>1160</v>
      </c>
      <c r="R54" s="7" t="s">
        <v>1161</v>
      </c>
      <c r="S54" s="7" t="s">
        <v>193</v>
      </c>
      <c r="T54" s="7" t="s">
        <v>1162</v>
      </c>
      <c r="U54" s="7" t="s">
        <v>1163</v>
      </c>
      <c r="V54" s="7" t="s">
        <v>1006</v>
      </c>
      <c r="W54" s="7" t="s">
        <v>1006</v>
      </c>
      <c r="X54" s="7" t="s">
        <v>1007</v>
      </c>
      <c r="Y54" s="7" t="s">
        <v>1006</v>
      </c>
      <c r="Z54" s="7" t="s">
        <v>1006</v>
      </c>
      <c r="AA54" s="7" t="s">
        <v>1164</v>
      </c>
      <c r="AB54" s="7" t="s">
        <v>1165</v>
      </c>
      <c r="AC54" s="7" t="s">
        <v>1166</v>
      </c>
      <c r="AD54" s="7" t="s">
        <v>1167</v>
      </c>
      <c r="AE54" s="7" t="s">
        <v>1168</v>
      </c>
      <c r="AF54" s="7" t="s">
        <v>1169</v>
      </c>
      <c r="AG54" s="7" t="s">
        <v>1170</v>
      </c>
      <c r="AH54" s="7" t="s">
        <v>1171</v>
      </c>
      <c r="AI54" s="7" t="s">
        <v>1172</v>
      </c>
      <c r="AJ54" s="7" t="s">
        <v>1173</v>
      </c>
      <c r="AK54" s="10" t="s">
        <v>220</v>
      </c>
      <c r="AL54" s="10" t="s">
        <v>118</v>
      </c>
      <c r="AM54" s="10" t="s">
        <v>118</v>
      </c>
      <c r="AN54" s="10"/>
      <c r="AO54" s="7" t="str">
        <f aca="false">IF(AN54&lt;&gt;"","Exclude (duplicate)",IF(OR(AK54="Check",AL54="Check",AM54="Check"),"Check",IF(AND(AK54="Yes",AL54="Yes",AM54="Yes"),"Include","Exclude")))</f>
        <v>Exclude</v>
      </c>
      <c r="AP54" s="10" t="s">
        <v>1174</v>
      </c>
      <c r="AQ54" s="10" t="s">
        <v>222</v>
      </c>
      <c r="AR54" s="10"/>
      <c r="AS54" s="10"/>
      <c r="AT54" s="7" t="str">
        <f aca="false">IF(AR54="","",IFERROR(INDEX(Libraries!$B:$B,MATCH(AR54,Libraries!$A:$A,0)),"ID not found"))</f>
        <v/>
      </c>
    </row>
    <row r="55" customFormat="false" ht="57" hidden="false" customHeight="true" outlineLevel="0" collapsed="false">
      <c r="A55" s="7" t="s">
        <v>1175</v>
      </c>
      <c r="B55" s="7" t="s">
        <v>1176</v>
      </c>
      <c r="C55" s="7" t="s">
        <v>1056</v>
      </c>
      <c r="D55" s="7" t="s">
        <v>1177</v>
      </c>
      <c r="E55" s="11" t="s">
        <v>141</v>
      </c>
      <c r="F55" s="7" t="s">
        <v>23</v>
      </c>
      <c r="G55" s="7" t="s">
        <v>142</v>
      </c>
      <c r="H55" s="7" t="s">
        <v>143</v>
      </c>
      <c r="I55" s="7" t="s">
        <v>1178</v>
      </c>
      <c r="J55" s="7" t="s">
        <v>1179</v>
      </c>
      <c r="K55" s="7" t="s">
        <v>155</v>
      </c>
      <c r="L55" s="7" t="s">
        <v>1180</v>
      </c>
      <c r="M55" s="7" t="s">
        <v>1181</v>
      </c>
      <c r="N55" s="7" t="s">
        <v>278</v>
      </c>
      <c r="O55" s="7" t="s">
        <v>158</v>
      </c>
      <c r="P55" s="7" t="s">
        <v>1182</v>
      </c>
      <c r="Q55" s="7" t="s">
        <v>106</v>
      </c>
      <c r="R55" s="7" t="s">
        <v>238</v>
      </c>
      <c r="S55" s="7" t="s">
        <v>1183</v>
      </c>
      <c r="T55" s="7" t="s">
        <v>1184</v>
      </c>
      <c r="U55" s="7" t="s">
        <v>1185</v>
      </c>
      <c r="V55" s="7" t="s">
        <v>1186</v>
      </c>
      <c r="W55" s="7" t="s">
        <v>197</v>
      </c>
      <c r="X55" s="7" t="s">
        <v>1187</v>
      </c>
      <c r="Y55" s="7" t="s">
        <v>1188</v>
      </c>
      <c r="Z55" s="7" t="s">
        <v>1189</v>
      </c>
      <c r="AA55" s="7" t="s">
        <v>1190</v>
      </c>
      <c r="AB55" s="7" t="s">
        <v>1191</v>
      </c>
      <c r="AC55" s="7" t="s">
        <v>1192</v>
      </c>
      <c r="AD55" s="7" t="s">
        <v>112</v>
      </c>
      <c r="AE55" s="7" t="s">
        <v>1193</v>
      </c>
      <c r="AF55" s="7" t="s">
        <v>1194</v>
      </c>
      <c r="AG55" s="7" t="s">
        <v>1195</v>
      </c>
      <c r="AH55" s="7" t="s">
        <v>1196</v>
      </c>
      <c r="AI55" s="7" t="s">
        <v>1197</v>
      </c>
      <c r="AJ55" s="7" t="s">
        <v>1198</v>
      </c>
      <c r="AK55" s="10" t="s">
        <v>118</v>
      </c>
      <c r="AL55" s="10" t="s">
        <v>118</v>
      </c>
      <c r="AM55" s="10" t="s">
        <v>118</v>
      </c>
      <c r="AN55" s="10"/>
      <c r="AO55" s="7" t="str">
        <f aca="false">IF(AN55&lt;&gt;"","Exclude (duplicate)",IF(OR(AK55="Check",AL55="Check",AM55="Check"),"Check",IF(AND(AK55="Yes",AL55="Yes",AM55="Yes"),"Include","Exclude")))</f>
        <v>Include</v>
      </c>
      <c r="AP55" s="10"/>
      <c r="AQ55" s="10" t="s">
        <v>329</v>
      </c>
      <c r="AR55" s="10" t="s">
        <v>147</v>
      </c>
      <c r="AS55" s="10"/>
      <c r="AT55" s="7" t="str">
        <f aca="false">IF(AR55="","",IFERROR(INDEX(Libraries!$B:$B,MATCH(AR55,Libraries!$A:$A,0)),"ID not found"))</f>
        <v>Brazilian Soil Spectral Library (BSSL, vis-NIR-SWIR)</v>
      </c>
    </row>
    <row r="56" customFormat="false" ht="45.75" hidden="false" customHeight="true" outlineLevel="0" collapsed="false">
      <c r="A56" s="7" t="s">
        <v>1199</v>
      </c>
      <c r="B56" s="7" t="s">
        <v>1200</v>
      </c>
      <c r="C56" s="7" t="s">
        <v>139</v>
      </c>
      <c r="D56" s="7" t="s">
        <v>1201</v>
      </c>
      <c r="E56" s="7" t="s">
        <v>1202</v>
      </c>
      <c r="F56" s="7" t="s">
        <v>215</v>
      </c>
      <c r="G56" s="7" t="s">
        <v>1203</v>
      </c>
      <c r="H56" s="7" t="s">
        <v>126</v>
      </c>
      <c r="I56" s="7" t="s">
        <v>1204</v>
      </c>
      <c r="J56" s="7" t="s">
        <v>1205</v>
      </c>
      <c r="K56" s="7" t="s">
        <v>1206</v>
      </c>
      <c r="L56" s="7" t="s">
        <v>348</v>
      </c>
      <c r="M56" s="7" t="s">
        <v>1207</v>
      </c>
      <c r="N56" s="7" t="s">
        <v>472</v>
      </c>
      <c r="O56" s="7" t="s">
        <v>1133</v>
      </c>
      <c r="P56" s="7" t="s">
        <v>1208</v>
      </c>
      <c r="Q56" s="7" t="s">
        <v>106</v>
      </c>
      <c r="R56" s="7" t="s">
        <v>238</v>
      </c>
      <c r="S56" s="7" t="s">
        <v>193</v>
      </c>
      <c r="T56" s="7" t="s">
        <v>104</v>
      </c>
      <c r="U56" s="7" t="s">
        <v>1209</v>
      </c>
      <c r="V56" s="7" t="s">
        <v>106</v>
      </c>
      <c r="W56" s="7" t="s">
        <v>1210</v>
      </c>
      <c r="X56" s="7" t="s">
        <v>1211</v>
      </c>
      <c r="Y56" s="7" t="s">
        <v>242</v>
      </c>
      <c r="Z56" s="7" t="s">
        <v>1212</v>
      </c>
      <c r="AA56" s="7" t="s">
        <v>106</v>
      </c>
      <c r="AB56" s="7" t="s">
        <v>1213</v>
      </c>
      <c r="AC56" s="7" t="s">
        <v>1214</v>
      </c>
      <c r="AD56" s="7" t="s">
        <v>112</v>
      </c>
      <c r="AE56" s="7" t="s">
        <v>106</v>
      </c>
      <c r="AF56" s="7" t="s">
        <v>1215</v>
      </c>
      <c r="AG56" s="7" t="s">
        <v>1216</v>
      </c>
      <c r="AH56" s="7" t="s">
        <v>1217</v>
      </c>
      <c r="AI56" s="7" t="s">
        <v>1218</v>
      </c>
      <c r="AJ56" s="7" t="s">
        <v>1219</v>
      </c>
      <c r="AK56" s="10" t="s">
        <v>118</v>
      </c>
      <c r="AL56" s="10" t="s">
        <v>118</v>
      </c>
      <c r="AM56" s="10" t="s">
        <v>118</v>
      </c>
      <c r="AN56" s="10"/>
      <c r="AO56" s="7" t="str">
        <f aca="false">IF(AN56&lt;&gt;"","Exclude (duplicate)",IF(OR(AK56="Check",AL56="Check",AM56="Check"),"Check",IF(AND(AK56="Yes",AL56="Yes",AM56="Yes"),"Include","Exclude")))</f>
        <v>Include</v>
      </c>
      <c r="AP56" s="10"/>
      <c r="AQ56" s="10" t="s">
        <v>128</v>
      </c>
      <c r="AR56" s="10" t="s">
        <v>1220</v>
      </c>
      <c r="AS56" s="10"/>
      <c r="AT56" s="7" t="str">
        <f aca="false">IF(AR56="","",IFERROR(INDEX(Libraries!$B:$B,MATCH(AR56,Libraries!$A:$A,0)),"ID not found"))</f>
        <v>Wuhan urban soil spectral library</v>
      </c>
    </row>
    <row r="57" customFormat="false" ht="68.25" hidden="false" customHeight="true" outlineLevel="0" collapsed="false">
      <c r="A57" s="7" t="s">
        <v>1221</v>
      </c>
      <c r="B57" s="7" t="s">
        <v>1222</v>
      </c>
      <c r="C57" s="7" t="s">
        <v>213</v>
      </c>
      <c r="D57" s="7" t="s">
        <v>1223</v>
      </c>
      <c r="E57" s="11" t="s">
        <v>1224</v>
      </c>
      <c r="F57" s="7" t="s">
        <v>20</v>
      </c>
      <c r="G57" s="7" t="s">
        <v>368</v>
      </c>
      <c r="H57" s="7" t="s">
        <v>368</v>
      </c>
      <c r="I57" s="7" t="s">
        <v>1225</v>
      </c>
      <c r="J57" s="7" t="s">
        <v>1226</v>
      </c>
      <c r="K57" s="7" t="s">
        <v>697</v>
      </c>
      <c r="L57" s="7"/>
      <c r="M57" s="7"/>
      <c r="N57" s="7"/>
      <c r="O57" s="7"/>
      <c r="P57" s="7"/>
      <c r="Q57" s="7"/>
      <c r="R57" s="7"/>
      <c r="S57" s="7"/>
      <c r="T57" s="7"/>
      <c r="U57" s="7"/>
      <c r="V57" s="7"/>
      <c r="W57" s="7"/>
      <c r="X57" s="7"/>
      <c r="Y57" s="7"/>
      <c r="Z57" s="7"/>
      <c r="AA57" s="7"/>
      <c r="AB57" s="7"/>
      <c r="AC57" s="7"/>
      <c r="AD57" s="7"/>
      <c r="AE57" s="7"/>
      <c r="AF57" s="7"/>
      <c r="AG57" s="7"/>
      <c r="AH57" s="7"/>
      <c r="AI57" s="7"/>
      <c r="AJ57" s="7"/>
      <c r="AK57" s="10" t="s">
        <v>118</v>
      </c>
      <c r="AL57" s="10" t="s">
        <v>118</v>
      </c>
      <c r="AM57" s="10" t="s">
        <v>118</v>
      </c>
      <c r="AN57" s="10"/>
      <c r="AO57" s="7" t="str">
        <f aca="false">IF(AN57&lt;&gt;"","Exclude (duplicate)",IF(OR(AK57="Check",AL57="Check",AM57="Check"),"Check",IF(AND(AK57="Yes",AL57="Yes",AM57="Yes"),"Include","Exclude")))</f>
        <v>Include</v>
      </c>
      <c r="AP57" s="10"/>
      <c r="AQ57" s="10" t="s">
        <v>128</v>
      </c>
      <c r="AR57" s="10" t="s">
        <v>1227</v>
      </c>
      <c r="AS57" s="10"/>
      <c r="AT57" s="7" t="str">
        <f aca="false">IF(AR57="","",IFERROR(INDEX(Libraries!$B:$B,MATCH(AR57,Libraries!$A:$A,0)),"ID not found"))</f>
        <v>ICRAF-ISRIC global vis-NIR library</v>
      </c>
    </row>
    <row r="58" customFormat="false" ht="45.75" hidden="false" customHeight="true" outlineLevel="0" collapsed="false">
      <c r="A58" s="7" t="s">
        <v>1228</v>
      </c>
      <c r="B58" s="7" t="s">
        <v>1229</v>
      </c>
      <c r="C58" s="7" t="s">
        <v>537</v>
      </c>
      <c r="D58" s="7" t="s">
        <v>1230</v>
      </c>
      <c r="E58" s="11" t="s">
        <v>141</v>
      </c>
      <c r="F58" s="7" t="s">
        <v>23</v>
      </c>
      <c r="G58" s="7" t="s">
        <v>142</v>
      </c>
      <c r="H58" s="7" t="s">
        <v>143</v>
      </c>
      <c r="I58" s="7" t="s">
        <v>1231</v>
      </c>
      <c r="J58" s="7" t="s">
        <v>1232</v>
      </c>
      <c r="K58" s="7" t="s">
        <v>146</v>
      </c>
      <c r="L58" s="7" t="s">
        <v>1233</v>
      </c>
      <c r="M58" s="7" t="s">
        <v>1234</v>
      </c>
      <c r="N58" s="7" t="s">
        <v>699</v>
      </c>
      <c r="O58" s="7" t="s">
        <v>158</v>
      </c>
      <c r="P58" s="7" t="s">
        <v>1235</v>
      </c>
      <c r="Q58" s="7" t="s">
        <v>191</v>
      </c>
      <c r="R58" s="7" t="s">
        <v>1236</v>
      </c>
      <c r="S58" s="7" t="s">
        <v>193</v>
      </c>
      <c r="T58" s="7" t="s">
        <v>1237</v>
      </c>
      <c r="U58" s="7" t="s">
        <v>545</v>
      </c>
      <c r="V58" s="7" t="s">
        <v>1238</v>
      </c>
      <c r="W58" s="7" t="s">
        <v>384</v>
      </c>
      <c r="X58" s="7" t="s">
        <v>1239</v>
      </c>
      <c r="Y58" s="7" t="s">
        <v>242</v>
      </c>
      <c r="Z58" s="7" t="s">
        <v>1240</v>
      </c>
      <c r="AA58" s="7" t="s">
        <v>1241</v>
      </c>
      <c r="AB58" s="7" t="s">
        <v>1242</v>
      </c>
      <c r="AC58" s="7" t="s">
        <v>1243</v>
      </c>
      <c r="AD58" s="7" t="s">
        <v>1244</v>
      </c>
      <c r="AE58" s="7" t="s">
        <v>1245</v>
      </c>
      <c r="AF58" s="7" t="s">
        <v>1246</v>
      </c>
      <c r="AG58" s="7" t="s">
        <v>1247</v>
      </c>
      <c r="AH58" s="7" t="s">
        <v>1248</v>
      </c>
      <c r="AI58" s="7" t="s">
        <v>1249</v>
      </c>
      <c r="AJ58" s="7" t="s">
        <v>1250</v>
      </c>
      <c r="AK58" s="10" t="s">
        <v>118</v>
      </c>
      <c r="AL58" s="10" t="s">
        <v>118</v>
      </c>
      <c r="AM58" s="10" t="s">
        <v>118</v>
      </c>
      <c r="AN58" s="10"/>
      <c r="AO58" s="7" t="str">
        <f aca="false">IF(AN58&lt;&gt;"","Exclude (duplicate)",IF(OR(AK58="Check",AL58="Check",AM58="Check"),"Check",IF(AND(AK58="Yes",AL58="Yes",AM58="Yes"),"Include","Exclude")))</f>
        <v>Include</v>
      </c>
      <c r="AP58" s="10"/>
      <c r="AQ58" s="10" t="s">
        <v>119</v>
      </c>
      <c r="AR58" s="10" t="s">
        <v>147</v>
      </c>
      <c r="AS58" s="10"/>
      <c r="AT58" s="7" t="str">
        <f aca="false">IF(AR58="","",IFERROR(INDEX(Libraries!$B:$B,MATCH(AR58,Libraries!$A:$A,0)),"ID not found"))</f>
        <v>Brazilian Soil Spectral Library (BSSL, vis-NIR-SWIR)</v>
      </c>
    </row>
    <row r="59" customFormat="false" ht="57" hidden="false" customHeight="true" outlineLevel="0" collapsed="false">
      <c r="A59" s="7" t="s">
        <v>1251</v>
      </c>
      <c r="B59" s="7" t="s">
        <v>1252</v>
      </c>
      <c r="C59" s="7" t="s">
        <v>132</v>
      </c>
      <c r="D59" s="7" t="s">
        <v>1253</v>
      </c>
      <c r="E59" s="11" t="s">
        <v>1254</v>
      </c>
      <c r="F59" s="7" t="s">
        <v>23</v>
      </c>
      <c r="G59" s="7" t="s">
        <v>563</v>
      </c>
      <c r="H59" s="7" t="s">
        <v>126</v>
      </c>
      <c r="I59" s="7" t="s">
        <v>1255</v>
      </c>
      <c r="J59" s="7" t="s">
        <v>1256</v>
      </c>
      <c r="K59" s="7" t="s">
        <v>697</v>
      </c>
      <c r="L59" s="7" t="s">
        <v>1257</v>
      </c>
      <c r="M59" s="7" t="s">
        <v>1258</v>
      </c>
      <c r="N59" s="7" t="s">
        <v>472</v>
      </c>
      <c r="O59" s="7" t="s">
        <v>158</v>
      </c>
      <c r="P59" s="7" t="s">
        <v>1259</v>
      </c>
      <c r="Q59" s="7" t="s">
        <v>106</v>
      </c>
      <c r="R59" s="7" t="s">
        <v>1260</v>
      </c>
      <c r="S59" s="7" t="s">
        <v>1261</v>
      </c>
      <c r="T59" s="7" t="s">
        <v>1262</v>
      </c>
      <c r="U59" s="7" t="s">
        <v>1263</v>
      </c>
      <c r="V59" s="7" t="s">
        <v>1264</v>
      </c>
      <c r="W59" s="7" t="s">
        <v>197</v>
      </c>
      <c r="X59" s="7" t="s">
        <v>1265</v>
      </c>
      <c r="Y59" s="7" t="s">
        <v>1266</v>
      </c>
      <c r="Z59" s="7" t="s">
        <v>1267</v>
      </c>
      <c r="AA59" s="7" t="s">
        <v>106</v>
      </c>
      <c r="AB59" s="7" t="s">
        <v>1268</v>
      </c>
      <c r="AC59" s="7" t="s">
        <v>577</v>
      </c>
      <c r="AD59" s="7" t="s">
        <v>112</v>
      </c>
      <c r="AE59" s="7" t="s">
        <v>1269</v>
      </c>
      <c r="AF59" s="7" t="s">
        <v>1270</v>
      </c>
      <c r="AG59" s="7" t="s">
        <v>1271</v>
      </c>
      <c r="AH59" s="7" t="s">
        <v>1272</v>
      </c>
      <c r="AI59" s="7" t="s">
        <v>1273</v>
      </c>
      <c r="AJ59" s="7" t="s">
        <v>1274</v>
      </c>
      <c r="AK59" s="10" t="s">
        <v>118</v>
      </c>
      <c r="AL59" s="10" t="s">
        <v>118</v>
      </c>
      <c r="AM59" s="10" t="s">
        <v>118</v>
      </c>
      <c r="AN59" s="10"/>
      <c r="AO59" s="7" t="str">
        <f aca="false">IF(AN59&lt;&gt;"","Exclude (duplicate)",IF(OR(AK59="Check",AL59="Check",AM59="Check"),"Check",IF(AND(AK59="Yes",AL59="Yes",AM59="Yes"),"Include","Exclude")))</f>
        <v>Include</v>
      </c>
      <c r="AP59" s="10"/>
      <c r="AQ59" s="10" t="s">
        <v>128</v>
      </c>
      <c r="AR59" s="10" t="s">
        <v>583</v>
      </c>
      <c r="AS59" s="10"/>
      <c r="AT59" s="7" t="str">
        <f aca="false">IF(AR59="","",IFERROR(INDEX(Libraries!$B:$B,MATCH(AR59,Libraries!$A:$A,0)),"ID not found"))</f>
        <v>Chinese Soil Spectral Library (CSSL)</v>
      </c>
    </row>
    <row r="60" customFormat="false" ht="45.75" hidden="false" customHeight="true" outlineLevel="0" collapsed="false">
      <c r="A60" s="7" t="s">
        <v>1275</v>
      </c>
      <c r="B60" s="7" t="s">
        <v>1276</v>
      </c>
      <c r="C60" s="7" t="s">
        <v>213</v>
      </c>
      <c r="D60" s="7" t="s">
        <v>95</v>
      </c>
      <c r="E60" s="7" t="s">
        <v>95</v>
      </c>
      <c r="F60" s="7" t="s">
        <v>215</v>
      </c>
      <c r="G60" s="7" t="s">
        <v>438</v>
      </c>
      <c r="H60" s="7" t="s">
        <v>126</v>
      </c>
      <c r="I60" s="7" t="s">
        <v>1277</v>
      </c>
      <c r="J60" s="7" t="s">
        <v>1278</v>
      </c>
      <c r="K60" s="7" t="s">
        <v>1279</v>
      </c>
      <c r="L60" s="7"/>
      <c r="M60" s="7"/>
      <c r="N60" s="7"/>
      <c r="O60" s="7"/>
      <c r="P60" s="7"/>
      <c r="Q60" s="7"/>
      <c r="R60" s="7"/>
      <c r="S60" s="7"/>
      <c r="T60" s="7"/>
      <c r="U60" s="7"/>
      <c r="V60" s="7"/>
      <c r="W60" s="7"/>
      <c r="X60" s="7"/>
      <c r="Y60" s="7"/>
      <c r="Z60" s="7"/>
      <c r="AA60" s="7"/>
      <c r="AB60" s="7"/>
      <c r="AC60" s="7"/>
      <c r="AD60" s="7"/>
      <c r="AE60" s="7"/>
      <c r="AF60" s="7"/>
      <c r="AG60" s="7"/>
      <c r="AH60" s="7"/>
      <c r="AI60" s="7"/>
      <c r="AJ60" s="7"/>
      <c r="AK60" s="10" t="s">
        <v>118</v>
      </c>
      <c r="AL60" s="10" t="s">
        <v>118</v>
      </c>
      <c r="AM60" s="10" t="s">
        <v>220</v>
      </c>
      <c r="AN60" s="10"/>
      <c r="AO60" s="7" t="str">
        <f aca="false">IF(AN60&lt;&gt;"","Exclude (duplicate)",IF(OR(AK60="Check",AL60="Check",AM60="Check"),"Check",IF(AND(AK60="Yes",AL60="Yes",AM60="Yes"),"Include","Exclude")))</f>
        <v>Exclude</v>
      </c>
      <c r="AP60" s="10" t="s">
        <v>1280</v>
      </c>
      <c r="AQ60" s="10" t="s">
        <v>222</v>
      </c>
      <c r="AR60" s="10"/>
      <c r="AS60" s="10"/>
      <c r="AT60" s="7" t="str">
        <f aca="false">IF(AR60="","",IFERROR(INDEX(Libraries!$B:$B,MATCH(AR60,Libraries!$A:$A,0)),"ID not found"))</f>
        <v/>
      </c>
    </row>
    <row r="61" customFormat="false" ht="45.75" hidden="false" customHeight="true" outlineLevel="0" collapsed="false">
      <c r="A61" s="7" t="s">
        <v>1281</v>
      </c>
      <c r="B61" s="7" t="s">
        <v>1282</v>
      </c>
      <c r="C61" s="7" t="s">
        <v>139</v>
      </c>
      <c r="D61" s="7" t="s">
        <v>1283</v>
      </c>
      <c r="E61" s="7" t="s">
        <v>1284</v>
      </c>
      <c r="F61" s="7" t="s">
        <v>215</v>
      </c>
      <c r="G61" s="7" t="s">
        <v>796</v>
      </c>
      <c r="H61" s="7" t="s">
        <v>126</v>
      </c>
      <c r="I61" s="7" t="s">
        <v>1285</v>
      </c>
      <c r="J61" s="7" t="s">
        <v>95</v>
      </c>
      <c r="K61" s="7" t="s">
        <v>697</v>
      </c>
      <c r="L61" s="7"/>
      <c r="M61" s="7"/>
      <c r="N61" s="7"/>
      <c r="O61" s="7"/>
      <c r="P61" s="7"/>
      <c r="Q61" s="7"/>
      <c r="R61" s="7"/>
      <c r="S61" s="7"/>
      <c r="T61" s="7"/>
      <c r="U61" s="7"/>
      <c r="V61" s="7"/>
      <c r="W61" s="7"/>
      <c r="X61" s="7"/>
      <c r="Y61" s="7"/>
      <c r="Z61" s="7"/>
      <c r="AA61" s="7"/>
      <c r="AB61" s="7"/>
      <c r="AC61" s="7"/>
      <c r="AD61" s="7"/>
      <c r="AE61" s="7"/>
      <c r="AF61" s="7"/>
      <c r="AG61" s="7"/>
      <c r="AH61" s="7"/>
      <c r="AI61" s="7"/>
      <c r="AJ61" s="7"/>
      <c r="AK61" s="10" t="s">
        <v>118</v>
      </c>
      <c r="AL61" s="10" t="s">
        <v>118</v>
      </c>
      <c r="AM61" s="10" t="s">
        <v>118</v>
      </c>
      <c r="AN61" s="10"/>
      <c r="AO61" s="7" t="str">
        <f aca="false">IF(AN61&lt;&gt;"","Exclude (duplicate)",IF(OR(AK61="Check",AL61="Check",AM61="Check"),"Check",IF(AND(AK61="Yes",AL61="Yes",AM61="Yes"),"Include","Exclude")))</f>
        <v>Include</v>
      </c>
      <c r="AP61" s="10" t="s">
        <v>1286</v>
      </c>
      <c r="AQ61" s="10" t="s">
        <v>128</v>
      </c>
      <c r="AR61" s="10" t="s">
        <v>583</v>
      </c>
      <c r="AS61" s="10"/>
      <c r="AT61" s="7" t="str">
        <f aca="false">IF(AR61="","",IFERROR(INDEX(Libraries!$B:$B,MATCH(AR61,Libraries!$A:$A,0)),"ID not found"))</f>
        <v>Chinese Soil Spectral Library (CSSL)</v>
      </c>
    </row>
    <row r="62" customFormat="false" ht="90.75" hidden="false" customHeight="true" outlineLevel="0" collapsed="false">
      <c r="A62" s="7" t="s">
        <v>1287</v>
      </c>
      <c r="B62" s="7" t="s">
        <v>1288</v>
      </c>
      <c r="C62" s="7" t="s">
        <v>225</v>
      </c>
      <c r="D62" s="7" t="s">
        <v>1289</v>
      </c>
      <c r="E62" s="7" t="s">
        <v>1284</v>
      </c>
      <c r="F62" s="7" t="s">
        <v>215</v>
      </c>
      <c r="G62" s="7" t="s">
        <v>1290</v>
      </c>
      <c r="H62" s="7" t="s">
        <v>126</v>
      </c>
      <c r="I62" s="7" t="s">
        <v>1285</v>
      </c>
      <c r="J62" s="7" t="s">
        <v>95</v>
      </c>
      <c r="K62" s="7" t="s">
        <v>697</v>
      </c>
      <c r="L62" s="7"/>
      <c r="M62" s="7"/>
      <c r="N62" s="7"/>
      <c r="O62" s="7"/>
      <c r="P62" s="7"/>
      <c r="Q62" s="7"/>
      <c r="R62" s="7"/>
      <c r="S62" s="7"/>
      <c r="T62" s="7"/>
      <c r="U62" s="7"/>
      <c r="V62" s="7"/>
      <c r="W62" s="7"/>
      <c r="X62" s="7"/>
      <c r="Y62" s="7"/>
      <c r="Z62" s="7"/>
      <c r="AA62" s="7"/>
      <c r="AB62" s="7"/>
      <c r="AC62" s="7"/>
      <c r="AD62" s="7"/>
      <c r="AE62" s="7"/>
      <c r="AF62" s="7"/>
      <c r="AG62" s="7"/>
      <c r="AH62" s="7"/>
      <c r="AI62" s="7"/>
      <c r="AJ62" s="7"/>
      <c r="AK62" s="10" t="s">
        <v>118</v>
      </c>
      <c r="AL62" s="10" t="s">
        <v>118</v>
      </c>
      <c r="AM62" s="10" t="s">
        <v>118</v>
      </c>
      <c r="AN62" s="10"/>
      <c r="AO62" s="7" t="str">
        <f aca="false">IF(AN62&lt;&gt;"","Exclude (duplicate)",IF(OR(AK62="Check",AL62="Check",AM62="Check"),"Check",IF(AND(AK62="Yes",AL62="Yes",AM62="Yes"),"Include","Exclude")))</f>
        <v>Include</v>
      </c>
      <c r="AP62" s="10"/>
      <c r="AQ62" s="10" t="s">
        <v>128</v>
      </c>
      <c r="AR62" s="10" t="s">
        <v>583</v>
      </c>
      <c r="AS62" s="10"/>
      <c r="AT62" s="7" t="str">
        <f aca="false">IF(AR62="","",IFERROR(INDEX(Libraries!$B:$B,MATCH(AR62,Libraries!$A:$A,0)),"ID not found"))</f>
        <v>Chinese Soil Spectral Library (CSSL)</v>
      </c>
    </row>
    <row r="63" customFormat="false" ht="45.75" hidden="false" customHeight="true" outlineLevel="0" collapsed="false">
      <c r="A63" s="7" t="s">
        <v>1291</v>
      </c>
      <c r="B63" s="7" t="s">
        <v>1292</v>
      </c>
      <c r="C63" s="7" t="s">
        <v>616</v>
      </c>
      <c r="D63" s="7" t="s">
        <v>1293</v>
      </c>
      <c r="E63" s="7" t="s">
        <v>95</v>
      </c>
      <c r="F63" s="7" t="s">
        <v>23</v>
      </c>
      <c r="G63" s="7" t="s">
        <v>588</v>
      </c>
      <c r="H63" s="7" t="s">
        <v>135</v>
      </c>
      <c r="I63" s="7" t="s">
        <v>1294</v>
      </c>
      <c r="J63" s="7" t="s">
        <v>1295</v>
      </c>
      <c r="K63" s="7" t="s">
        <v>1296</v>
      </c>
      <c r="L63" s="7" t="s">
        <v>1297</v>
      </c>
      <c r="M63" s="7" t="s">
        <v>1298</v>
      </c>
      <c r="N63" s="7" t="s">
        <v>593</v>
      </c>
      <c r="O63" s="7" t="s">
        <v>1299</v>
      </c>
      <c r="P63" s="7" t="s">
        <v>1300</v>
      </c>
      <c r="Q63" s="7" t="s">
        <v>106</v>
      </c>
      <c r="R63" s="7" t="s">
        <v>238</v>
      </c>
      <c r="S63" s="7" t="s">
        <v>193</v>
      </c>
      <c r="T63" s="7" t="s">
        <v>1301</v>
      </c>
      <c r="U63" s="7" t="s">
        <v>1302</v>
      </c>
      <c r="V63" s="7" t="s">
        <v>1303</v>
      </c>
      <c r="W63" s="7" t="s">
        <v>1304</v>
      </c>
      <c r="X63" s="7" t="s">
        <v>1305</v>
      </c>
      <c r="Y63" s="7" t="s">
        <v>1306</v>
      </c>
      <c r="Z63" s="7" t="s">
        <v>1307</v>
      </c>
      <c r="AA63" s="7" t="s">
        <v>106</v>
      </c>
      <c r="AB63" s="7" t="s">
        <v>1308</v>
      </c>
      <c r="AC63" s="7" t="s">
        <v>1309</v>
      </c>
      <c r="AD63" s="7" t="s">
        <v>112</v>
      </c>
      <c r="AE63" s="7" t="s">
        <v>106</v>
      </c>
      <c r="AF63" s="7" t="s">
        <v>106</v>
      </c>
      <c r="AG63" s="7" t="s">
        <v>1310</v>
      </c>
      <c r="AH63" s="7" t="s">
        <v>1311</v>
      </c>
      <c r="AI63" s="7" t="s">
        <v>1312</v>
      </c>
      <c r="AJ63" s="7" t="s">
        <v>1313</v>
      </c>
      <c r="AK63" s="10" t="s">
        <v>118</v>
      </c>
      <c r="AL63" s="10" t="s">
        <v>118</v>
      </c>
      <c r="AM63" s="10" t="s">
        <v>220</v>
      </c>
      <c r="AN63" s="10"/>
      <c r="AO63" s="7" t="str">
        <f aca="false">IF(AN63&lt;&gt;"","Exclude (duplicate)",IF(OR(AK63="Check",AL63="Check",AM63="Check"),"Check",IF(AND(AK63="Yes",AL63="Yes",AM63="Yes"),"Include","Exclude")))</f>
        <v>Exclude</v>
      </c>
      <c r="AP63" s="10" t="s">
        <v>1314</v>
      </c>
      <c r="AQ63" s="10" t="s">
        <v>222</v>
      </c>
      <c r="AR63" s="10"/>
      <c r="AS63" s="10"/>
      <c r="AT63" s="7" t="str">
        <f aca="false">IF(AR63="","",IFERROR(INDEX(Libraries!$B:$B,MATCH(AR63,Libraries!$A:$A,0)),"ID not found"))</f>
        <v/>
      </c>
    </row>
    <row r="64" customFormat="false" ht="34.5" hidden="false" customHeight="true" outlineLevel="0" collapsed="false">
      <c r="A64" s="7" t="s">
        <v>1315</v>
      </c>
      <c r="B64" s="7" t="s">
        <v>1316</v>
      </c>
      <c r="C64" s="7" t="s">
        <v>139</v>
      </c>
      <c r="D64" s="7" t="s">
        <v>1317</v>
      </c>
      <c r="E64" s="7" t="s">
        <v>141</v>
      </c>
      <c r="F64" s="7" t="s">
        <v>23</v>
      </c>
      <c r="G64" s="7" t="s">
        <v>142</v>
      </c>
      <c r="H64" s="7" t="s">
        <v>143</v>
      </c>
      <c r="I64" s="7" t="s">
        <v>1318</v>
      </c>
      <c r="J64" s="7" t="s">
        <v>1319</v>
      </c>
      <c r="K64" s="7" t="s">
        <v>1320</v>
      </c>
      <c r="L64" s="7"/>
      <c r="M64" s="7"/>
      <c r="N64" s="7"/>
      <c r="O64" s="7"/>
      <c r="P64" s="7"/>
      <c r="Q64" s="7"/>
      <c r="R64" s="7"/>
      <c r="S64" s="7"/>
      <c r="T64" s="7"/>
      <c r="U64" s="7"/>
      <c r="V64" s="7"/>
      <c r="W64" s="7"/>
      <c r="X64" s="7"/>
      <c r="Y64" s="7"/>
      <c r="Z64" s="7"/>
      <c r="AA64" s="7"/>
      <c r="AB64" s="7"/>
      <c r="AC64" s="7"/>
      <c r="AD64" s="7"/>
      <c r="AE64" s="7"/>
      <c r="AF64" s="7"/>
      <c r="AG64" s="7"/>
      <c r="AH64" s="7"/>
      <c r="AI64" s="7"/>
      <c r="AJ64" s="7"/>
      <c r="AK64" s="10" t="s">
        <v>118</v>
      </c>
      <c r="AL64" s="10" t="s">
        <v>118</v>
      </c>
      <c r="AM64" s="10" t="s">
        <v>118</v>
      </c>
      <c r="AN64" s="10"/>
      <c r="AO64" s="7" t="str">
        <f aca="false">IF(AN64&lt;&gt;"","Exclude (duplicate)",IF(OR(AK64="Check",AL64="Check",AM64="Check"),"Check",IF(AND(AK64="Yes",AL64="Yes",AM64="Yes"),"Include","Exclude")))</f>
        <v>Include</v>
      </c>
      <c r="AP64" s="10"/>
      <c r="AQ64" s="10" t="s">
        <v>119</v>
      </c>
      <c r="AR64" s="10" t="s">
        <v>1321</v>
      </c>
      <c r="AS64" s="10"/>
      <c r="AT64" s="7" t="str">
        <f aca="false">IF(AR64="","",IFERROR(INDEX(Libraries!$B:$B,MATCH(AR64,Libraries!$A:$A,0)),"ID not found"))</f>
        <v>Brazilian soil MIR Spectral Library</v>
      </c>
    </row>
    <row r="65" customFormat="false" ht="57" hidden="false" customHeight="true" outlineLevel="0" collapsed="false">
      <c r="A65" s="7" t="s">
        <v>1322</v>
      </c>
      <c r="B65" s="7" t="s">
        <v>1323</v>
      </c>
      <c r="C65" s="7" t="s">
        <v>458</v>
      </c>
      <c r="D65" s="7" t="s">
        <v>1324</v>
      </c>
      <c r="E65" s="7" t="s">
        <v>1325</v>
      </c>
      <c r="F65" s="7" t="s">
        <v>23</v>
      </c>
      <c r="G65" s="7" t="s">
        <v>1326</v>
      </c>
      <c r="H65" s="7" t="s">
        <v>135</v>
      </c>
      <c r="I65" s="7" t="s">
        <v>1327</v>
      </c>
      <c r="J65" s="7" t="s">
        <v>1328</v>
      </c>
      <c r="K65" s="7" t="s">
        <v>1329</v>
      </c>
      <c r="L65" s="7" t="s">
        <v>1063</v>
      </c>
      <c r="M65" s="7" t="s">
        <v>1330</v>
      </c>
      <c r="N65" s="7" t="s">
        <v>723</v>
      </c>
      <c r="O65" s="7" t="s">
        <v>1331</v>
      </c>
      <c r="P65" s="7" t="s">
        <v>1332</v>
      </c>
      <c r="Q65" s="7" t="s">
        <v>1333</v>
      </c>
      <c r="R65" s="7" t="s">
        <v>1334</v>
      </c>
      <c r="S65" s="7" t="s">
        <v>193</v>
      </c>
      <c r="T65" s="7" t="s">
        <v>1335</v>
      </c>
      <c r="U65" s="7" t="s">
        <v>1336</v>
      </c>
      <c r="V65" s="7" t="s">
        <v>106</v>
      </c>
      <c r="W65" s="7" t="s">
        <v>106</v>
      </c>
      <c r="X65" s="7" t="s">
        <v>1337</v>
      </c>
      <c r="Y65" s="7" t="s">
        <v>1338</v>
      </c>
      <c r="Z65" s="7" t="s">
        <v>1339</v>
      </c>
      <c r="AA65" s="7" t="s">
        <v>1340</v>
      </c>
      <c r="AB65" s="7" t="s">
        <v>1341</v>
      </c>
      <c r="AC65" s="7" t="s">
        <v>1342</v>
      </c>
      <c r="AD65" s="7" t="s">
        <v>112</v>
      </c>
      <c r="AE65" s="7" t="s">
        <v>1343</v>
      </c>
      <c r="AF65" s="7" t="s">
        <v>1344</v>
      </c>
      <c r="AG65" s="7" t="s">
        <v>1345</v>
      </c>
      <c r="AH65" s="7" t="s">
        <v>1346</v>
      </c>
      <c r="AI65" s="7" t="s">
        <v>1347</v>
      </c>
      <c r="AJ65" s="7" t="s">
        <v>1348</v>
      </c>
      <c r="AK65" s="10" t="s">
        <v>118</v>
      </c>
      <c r="AL65" s="10" t="s">
        <v>118</v>
      </c>
      <c r="AM65" s="10" t="s">
        <v>118</v>
      </c>
      <c r="AN65" s="10"/>
      <c r="AO65" s="7" t="str">
        <f aca="false">IF(AN65&lt;&gt;"","Exclude (duplicate)",IF(OR(AK65="Check",AL65="Check",AM65="Check"),"Check",IF(AND(AK65="Yes",AL65="Yes",AM65="Yes"),"Include","Exclude")))</f>
        <v>Include</v>
      </c>
      <c r="AP65" s="10"/>
      <c r="AQ65" s="10" t="s">
        <v>119</v>
      </c>
      <c r="AR65" s="10" t="s">
        <v>1349</v>
      </c>
      <c r="AS65" s="10"/>
      <c r="AT65" s="7" t="str">
        <f aca="false">IF(AR65="","",IFERROR(INDEX(Libraries!$B:$B,MATCH(AR65,Libraries!$A:$A,0)),"ID not found"))</f>
        <v>Swiss MIR soil spectral library</v>
      </c>
    </row>
    <row r="66" customFormat="false" ht="79.5" hidden="false" customHeight="true" outlineLevel="0" collapsed="false">
      <c r="A66" s="7" t="s">
        <v>1350</v>
      </c>
      <c r="B66" s="7" t="s">
        <v>1351</v>
      </c>
      <c r="C66" s="7" t="s">
        <v>458</v>
      </c>
      <c r="D66" s="7" t="s">
        <v>1352</v>
      </c>
      <c r="E66" s="7" t="s">
        <v>1325</v>
      </c>
      <c r="F66" s="7" t="s">
        <v>23</v>
      </c>
      <c r="G66" s="7" t="s">
        <v>1326</v>
      </c>
      <c r="H66" s="7" t="s">
        <v>135</v>
      </c>
      <c r="I66" s="7" t="s">
        <v>1327</v>
      </c>
      <c r="J66" s="7" t="s">
        <v>1353</v>
      </c>
      <c r="K66" s="7" t="s">
        <v>1354</v>
      </c>
      <c r="L66" s="7" t="s">
        <v>1355</v>
      </c>
      <c r="M66" s="7" t="s">
        <v>1356</v>
      </c>
      <c r="N66" s="7" t="s">
        <v>723</v>
      </c>
      <c r="O66" s="7" t="s">
        <v>1357</v>
      </c>
      <c r="P66" s="7" t="s">
        <v>1332</v>
      </c>
      <c r="Q66" s="7" t="s">
        <v>106</v>
      </c>
      <c r="R66" s="7" t="s">
        <v>238</v>
      </c>
      <c r="S66" s="7" t="s">
        <v>193</v>
      </c>
      <c r="T66" s="7" t="s">
        <v>1358</v>
      </c>
      <c r="U66" s="7" t="s">
        <v>1359</v>
      </c>
      <c r="V66" s="7" t="s">
        <v>106</v>
      </c>
      <c r="W66" s="7" t="s">
        <v>106</v>
      </c>
      <c r="X66" s="7" t="s">
        <v>1360</v>
      </c>
      <c r="Y66" s="7" t="s">
        <v>1361</v>
      </c>
      <c r="Z66" s="7" t="s">
        <v>1362</v>
      </c>
      <c r="AA66" s="7" t="s">
        <v>106</v>
      </c>
      <c r="AB66" s="7" t="s">
        <v>1363</v>
      </c>
      <c r="AC66" s="7" t="s">
        <v>1342</v>
      </c>
      <c r="AD66" s="7" t="s">
        <v>112</v>
      </c>
      <c r="AE66" s="7" t="s">
        <v>1364</v>
      </c>
      <c r="AF66" s="7" t="s">
        <v>1365</v>
      </c>
      <c r="AG66" s="7" t="s">
        <v>1366</v>
      </c>
      <c r="AH66" s="7" t="s">
        <v>1367</v>
      </c>
      <c r="AI66" s="7" t="s">
        <v>1368</v>
      </c>
      <c r="AJ66" s="7" t="s">
        <v>1369</v>
      </c>
      <c r="AK66" s="10" t="s">
        <v>118</v>
      </c>
      <c r="AL66" s="10" t="s">
        <v>118</v>
      </c>
      <c r="AM66" s="10" t="s">
        <v>118</v>
      </c>
      <c r="AN66" s="10"/>
      <c r="AO66" s="7" t="str">
        <f aca="false">IF(AN66&lt;&gt;"","Exclude (duplicate)",IF(OR(AK66="Check",AL66="Check",AM66="Check"),"Check",IF(AND(AK66="Yes",AL66="Yes",AM66="Yes"),"Include","Exclude")))</f>
        <v>Include</v>
      </c>
      <c r="AP66" s="10"/>
      <c r="AQ66" s="10" t="s">
        <v>128</v>
      </c>
      <c r="AR66" s="10" t="s">
        <v>1349</v>
      </c>
      <c r="AS66" s="10"/>
      <c r="AT66" s="7" t="str">
        <f aca="false">IF(AR66="","",IFERROR(INDEX(Libraries!$B:$B,MATCH(AR66,Libraries!$A:$A,0)),"ID not found"))</f>
        <v>Swiss MIR soil spectral library</v>
      </c>
    </row>
    <row r="67" customFormat="false" ht="34.5" hidden="false" customHeight="true" outlineLevel="0" collapsed="false">
      <c r="A67" s="7" t="s">
        <v>1370</v>
      </c>
      <c r="B67" s="7" t="s">
        <v>1371</v>
      </c>
      <c r="C67" s="7" t="s">
        <v>93</v>
      </c>
      <c r="D67" s="7" t="s">
        <v>1372</v>
      </c>
      <c r="E67" s="7" t="s">
        <v>1373</v>
      </c>
      <c r="F67" s="7" t="s">
        <v>152</v>
      </c>
      <c r="G67" s="7" t="s">
        <v>563</v>
      </c>
      <c r="H67" s="7" t="s">
        <v>126</v>
      </c>
      <c r="I67" s="7" t="s">
        <v>1374</v>
      </c>
      <c r="J67" s="7" t="s">
        <v>1375</v>
      </c>
      <c r="K67" s="7" t="s">
        <v>697</v>
      </c>
      <c r="L67" s="7" t="s">
        <v>858</v>
      </c>
      <c r="M67" s="7" t="s">
        <v>1376</v>
      </c>
      <c r="N67" s="7" t="s">
        <v>350</v>
      </c>
      <c r="O67" s="7" t="s">
        <v>1377</v>
      </c>
      <c r="P67" s="7" t="s">
        <v>106</v>
      </c>
      <c r="Q67" s="7" t="s">
        <v>106</v>
      </c>
      <c r="R67" s="7" t="s">
        <v>106</v>
      </c>
      <c r="S67" s="7" t="s">
        <v>193</v>
      </c>
      <c r="T67" s="7" t="s">
        <v>1088</v>
      </c>
      <c r="U67" s="7" t="s">
        <v>1089</v>
      </c>
      <c r="V67" s="7" t="s">
        <v>106</v>
      </c>
      <c r="W67" s="7" t="s">
        <v>106</v>
      </c>
      <c r="X67" s="7" t="s">
        <v>1378</v>
      </c>
      <c r="Y67" s="7" t="s">
        <v>1379</v>
      </c>
      <c r="Z67" s="7" t="s">
        <v>1380</v>
      </c>
      <c r="AA67" s="7" t="s">
        <v>106</v>
      </c>
      <c r="AB67" s="7" t="s">
        <v>1381</v>
      </c>
      <c r="AC67" s="7" t="s">
        <v>1382</v>
      </c>
      <c r="AD67" s="7" t="s">
        <v>112</v>
      </c>
      <c r="AE67" s="7" t="s">
        <v>106</v>
      </c>
      <c r="AF67" s="7" t="s">
        <v>106</v>
      </c>
      <c r="AG67" s="7" t="s">
        <v>1383</v>
      </c>
      <c r="AH67" s="7" t="s">
        <v>1384</v>
      </c>
      <c r="AI67" s="7" t="s">
        <v>1385</v>
      </c>
      <c r="AJ67" s="7" t="s">
        <v>1386</v>
      </c>
      <c r="AK67" s="10" t="s">
        <v>118</v>
      </c>
      <c r="AL67" s="10" t="s">
        <v>118</v>
      </c>
      <c r="AM67" s="10" t="s">
        <v>118</v>
      </c>
      <c r="AN67" s="10"/>
      <c r="AO67" s="7" t="str">
        <f aca="false">IF(AN67&lt;&gt;"","Exclude (duplicate)",IF(OR(AK67="Check",AL67="Check",AM67="Check"),"Check",IF(AND(AK67="Yes",AL67="Yes",AM67="Yes"),"Include","Exclude")))</f>
        <v>Include</v>
      </c>
      <c r="AP67" s="10"/>
      <c r="AQ67" s="10" t="s">
        <v>128</v>
      </c>
      <c r="AR67" s="10" t="s">
        <v>1387</v>
      </c>
      <c r="AS67" s="10"/>
      <c r="AT67" s="7" t="str">
        <f aca="false">IF(AR67="","",IFERROR(INDEX(Libraries!$B:$B,MATCH(AR67,Libraries!$A:$A,0)),"ID not found"))</f>
        <v>Hebei soil spectral library (HSSL)</v>
      </c>
    </row>
    <row r="68" customFormat="false" ht="45.75" hidden="false" customHeight="true" outlineLevel="0" collapsed="false">
      <c r="A68" s="7" t="s">
        <v>1388</v>
      </c>
      <c r="B68" s="7" t="s">
        <v>1389</v>
      </c>
      <c r="C68" s="7" t="s">
        <v>1056</v>
      </c>
      <c r="D68" s="7" t="s">
        <v>1390</v>
      </c>
      <c r="E68" s="11" t="s">
        <v>1391</v>
      </c>
      <c r="F68" s="7" t="s">
        <v>20</v>
      </c>
      <c r="G68" s="7" t="s">
        <v>368</v>
      </c>
      <c r="H68" s="7" t="s">
        <v>368</v>
      </c>
      <c r="I68" s="7" t="s">
        <v>1392</v>
      </c>
      <c r="J68" s="7" t="s">
        <v>372</v>
      </c>
      <c r="K68" s="7" t="s">
        <v>95</v>
      </c>
      <c r="L68" s="7" t="s">
        <v>1393</v>
      </c>
      <c r="M68" s="7" t="s">
        <v>1394</v>
      </c>
      <c r="N68" s="7" t="s">
        <v>472</v>
      </c>
      <c r="O68" s="7" t="s">
        <v>1133</v>
      </c>
      <c r="P68" s="7" t="s">
        <v>1395</v>
      </c>
      <c r="Q68" s="7" t="s">
        <v>106</v>
      </c>
      <c r="R68" s="7" t="s">
        <v>1396</v>
      </c>
      <c r="S68" s="7" t="s">
        <v>193</v>
      </c>
      <c r="T68" s="7" t="s">
        <v>1397</v>
      </c>
      <c r="U68" s="7" t="s">
        <v>1398</v>
      </c>
      <c r="V68" s="7" t="s">
        <v>106</v>
      </c>
      <c r="W68" s="7" t="s">
        <v>1399</v>
      </c>
      <c r="X68" s="7" t="s">
        <v>1400</v>
      </c>
      <c r="Y68" s="7" t="s">
        <v>1401</v>
      </c>
      <c r="Z68" s="7" t="s">
        <v>1402</v>
      </c>
      <c r="AA68" s="7" t="s">
        <v>106</v>
      </c>
      <c r="AB68" s="7" t="s">
        <v>1403</v>
      </c>
      <c r="AC68" s="7" t="s">
        <v>1404</v>
      </c>
      <c r="AD68" s="7" t="s">
        <v>112</v>
      </c>
      <c r="AE68" s="7" t="s">
        <v>106</v>
      </c>
      <c r="AF68" s="7" t="s">
        <v>106</v>
      </c>
      <c r="AG68" s="7" t="s">
        <v>1405</v>
      </c>
      <c r="AH68" s="7" t="s">
        <v>1406</v>
      </c>
      <c r="AI68" s="7" t="s">
        <v>1407</v>
      </c>
      <c r="AJ68" s="7" t="s">
        <v>1408</v>
      </c>
      <c r="AK68" s="10" t="s">
        <v>118</v>
      </c>
      <c r="AL68" s="10" t="s">
        <v>118</v>
      </c>
      <c r="AM68" s="10" t="s">
        <v>118</v>
      </c>
      <c r="AN68" s="10"/>
      <c r="AO68" s="7" t="str">
        <f aca="false">IF(AN68&lt;&gt;"","Exclude (duplicate)",IF(OR(AK68="Check",AL68="Check",AM68="Check"),"Check",IF(AND(AK68="Yes",AL68="Yes",AM68="Yes"),"Include","Exclude")))</f>
        <v>Include</v>
      </c>
      <c r="AP68" s="10"/>
      <c r="AQ68" s="10" t="s">
        <v>128</v>
      </c>
      <c r="AR68" s="10" t="s">
        <v>1227</v>
      </c>
      <c r="AS68" s="10"/>
      <c r="AT68" s="7" t="str">
        <f aca="false">IF(AR68="","",IFERROR(INDEX(Libraries!$B:$B,MATCH(AR68,Libraries!$A:$A,0)),"ID not found"))</f>
        <v>ICRAF-ISRIC global vis-NIR library</v>
      </c>
    </row>
    <row r="69" customFormat="false" ht="57" hidden="false" customHeight="true" outlineLevel="0" collapsed="false">
      <c r="A69" s="7" t="s">
        <v>1409</v>
      </c>
      <c r="B69" s="7" t="s">
        <v>1410</v>
      </c>
      <c r="C69" s="7" t="s">
        <v>139</v>
      </c>
      <c r="D69" s="7" t="s">
        <v>1411</v>
      </c>
      <c r="E69" s="7" t="s">
        <v>1412</v>
      </c>
      <c r="F69" s="7" t="s">
        <v>20</v>
      </c>
      <c r="G69" s="7" t="s">
        <v>368</v>
      </c>
      <c r="H69" s="7" t="s">
        <v>368</v>
      </c>
      <c r="I69" s="7" t="s">
        <v>1413</v>
      </c>
      <c r="J69" s="7" t="s">
        <v>1319</v>
      </c>
      <c r="K69" s="7" t="s">
        <v>146</v>
      </c>
      <c r="L69" s="7"/>
      <c r="M69" s="7"/>
      <c r="N69" s="7"/>
      <c r="O69" s="7"/>
      <c r="P69" s="7"/>
      <c r="Q69" s="7"/>
      <c r="R69" s="7"/>
      <c r="S69" s="7"/>
      <c r="T69" s="7"/>
      <c r="U69" s="7"/>
      <c r="V69" s="7"/>
      <c r="W69" s="7"/>
      <c r="X69" s="7"/>
      <c r="Y69" s="7"/>
      <c r="Z69" s="7"/>
      <c r="AA69" s="7"/>
      <c r="AB69" s="7"/>
      <c r="AC69" s="7"/>
      <c r="AD69" s="7"/>
      <c r="AE69" s="7"/>
      <c r="AF69" s="7"/>
      <c r="AG69" s="7"/>
      <c r="AH69" s="7"/>
      <c r="AI69" s="7"/>
      <c r="AJ69" s="7"/>
      <c r="AK69" s="10" t="s">
        <v>118</v>
      </c>
      <c r="AL69" s="10" t="s">
        <v>118</v>
      </c>
      <c r="AM69" s="10" t="s">
        <v>118</v>
      </c>
      <c r="AN69" s="10"/>
      <c r="AO69" s="7" t="str">
        <f aca="false">IF(AN69&lt;&gt;"","Exclude (duplicate)",IF(OR(AK69="Check",AL69="Check",AM69="Check"),"Check",IF(AND(AK69="Yes",AL69="Yes",AM69="Yes"),"Include","Exclude")))</f>
        <v>Include</v>
      </c>
      <c r="AP69" s="10"/>
      <c r="AQ69" s="10" t="s">
        <v>119</v>
      </c>
      <c r="AR69" s="10" t="s">
        <v>923</v>
      </c>
      <c r="AS69" s="10"/>
      <c r="AT69" s="7" t="str">
        <f aca="false">IF(AR69="","",IFERROR(INDEX(Libraries!$B:$B,MATCH(AR69,Libraries!$A:$A,0)),"ID not found"))</f>
        <v>Brazilian Soil Spectral Service (BraSpecS)</v>
      </c>
    </row>
    <row r="70" customFormat="false" ht="57" hidden="false" customHeight="true" outlineLevel="0" collapsed="false">
      <c r="A70" s="7" t="s">
        <v>1414</v>
      </c>
      <c r="B70" s="7" t="s">
        <v>1415</v>
      </c>
      <c r="C70" s="7" t="s">
        <v>123</v>
      </c>
      <c r="D70" s="7" t="s">
        <v>1416</v>
      </c>
      <c r="E70" s="7" t="s">
        <v>1417</v>
      </c>
      <c r="F70" s="7" t="s">
        <v>23</v>
      </c>
      <c r="G70" s="7" t="s">
        <v>1418</v>
      </c>
      <c r="H70" s="7" t="s">
        <v>135</v>
      </c>
      <c r="I70" s="7" t="s">
        <v>1419</v>
      </c>
      <c r="J70" s="7" t="s">
        <v>95</v>
      </c>
      <c r="K70" s="7" t="s">
        <v>155</v>
      </c>
      <c r="L70" s="7" t="s">
        <v>1420</v>
      </c>
      <c r="M70" s="7" t="s">
        <v>1421</v>
      </c>
      <c r="N70" s="7" t="s">
        <v>472</v>
      </c>
      <c r="O70" s="7" t="s">
        <v>158</v>
      </c>
      <c r="P70" s="7" t="s">
        <v>1422</v>
      </c>
      <c r="Q70" s="7" t="s">
        <v>1423</v>
      </c>
      <c r="R70" s="7" t="s">
        <v>1424</v>
      </c>
      <c r="S70" s="7" t="s">
        <v>1425</v>
      </c>
      <c r="T70" s="7" t="s">
        <v>1426</v>
      </c>
      <c r="U70" s="7" t="s">
        <v>1427</v>
      </c>
      <c r="V70" s="7" t="s">
        <v>106</v>
      </c>
      <c r="W70" s="7" t="s">
        <v>197</v>
      </c>
      <c r="X70" s="7" t="s">
        <v>1428</v>
      </c>
      <c r="Y70" s="7" t="s">
        <v>1429</v>
      </c>
      <c r="Z70" s="7" t="s">
        <v>1429</v>
      </c>
      <c r="AA70" s="7" t="s">
        <v>1430</v>
      </c>
      <c r="AB70" s="7" t="s">
        <v>1431</v>
      </c>
      <c r="AC70" s="7" t="s">
        <v>1432</v>
      </c>
      <c r="AD70" s="7" t="s">
        <v>1433</v>
      </c>
      <c r="AE70" s="7" t="s">
        <v>1434</v>
      </c>
      <c r="AF70" s="7" t="s">
        <v>1435</v>
      </c>
      <c r="AG70" s="7" t="s">
        <v>1436</v>
      </c>
      <c r="AH70" s="7" t="s">
        <v>1437</v>
      </c>
      <c r="AI70" s="7" t="s">
        <v>1438</v>
      </c>
      <c r="AJ70" s="7" t="s">
        <v>1439</v>
      </c>
      <c r="AK70" s="10" t="s">
        <v>118</v>
      </c>
      <c r="AL70" s="10" t="s">
        <v>118</v>
      </c>
      <c r="AM70" s="10" t="s">
        <v>118</v>
      </c>
      <c r="AN70" s="10"/>
      <c r="AO70" s="7" t="str">
        <f aca="false">IF(AN70&lt;&gt;"","Exclude (duplicate)",IF(OR(AK70="Check",AL70="Check",AM70="Check"),"Check",IF(AND(AK70="Yes",AL70="Yes",AM70="Yes"),"Include","Exclude")))</f>
        <v>Include</v>
      </c>
      <c r="AP70" s="10"/>
      <c r="AQ70" s="10" t="s">
        <v>119</v>
      </c>
      <c r="AR70" s="10" t="s">
        <v>1440</v>
      </c>
      <c r="AS70" s="10"/>
      <c r="AT70" s="7" t="str">
        <f aca="false">IF(AR70="","",IFERROR(INDEX(Libraries!$B:$B,MATCH(AR70,Libraries!$A:$A,0)),"ID not found"))</f>
        <v>Hungarian vis-NIR library (HSDOS)</v>
      </c>
    </row>
    <row r="71" customFormat="false" ht="34.5" hidden="false" customHeight="true" outlineLevel="0" collapsed="false">
      <c r="A71" s="7" t="s">
        <v>1441</v>
      </c>
      <c r="B71" s="7" t="s">
        <v>1442</v>
      </c>
      <c r="C71" s="7" t="s">
        <v>225</v>
      </c>
      <c r="D71" s="7" t="s">
        <v>1443</v>
      </c>
      <c r="E71" s="7" t="s">
        <v>95</v>
      </c>
      <c r="F71" s="7" t="s">
        <v>23</v>
      </c>
      <c r="G71" s="7" t="s">
        <v>1444</v>
      </c>
      <c r="H71" s="7" t="s">
        <v>135</v>
      </c>
      <c r="I71" s="7" t="s">
        <v>1445</v>
      </c>
      <c r="J71" s="7" t="s">
        <v>1446</v>
      </c>
      <c r="K71" s="7" t="s">
        <v>1447</v>
      </c>
      <c r="L71" s="7" t="s">
        <v>1448</v>
      </c>
      <c r="M71" s="7" t="s">
        <v>1449</v>
      </c>
      <c r="N71" s="7" t="s">
        <v>1450</v>
      </c>
      <c r="O71" s="7" t="s">
        <v>1451</v>
      </c>
      <c r="P71" s="7" t="s">
        <v>1452</v>
      </c>
      <c r="Q71" s="7" t="s">
        <v>1453</v>
      </c>
      <c r="R71" s="7" t="s">
        <v>1454</v>
      </c>
      <c r="S71" s="7" t="s">
        <v>1455</v>
      </c>
      <c r="T71" s="7" t="s">
        <v>1456</v>
      </c>
      <c r="U71" s="7" t="s">
        <v>1457</v>
      </c>
      <c r="V71" s="7" t="s">
        <v>1458</v>
      </c>
      <c r="W71" s="7" t="s">
        <v>1459</v>
      </c>
      <c r="X71" s="7" t="s">
        <v>1460</v>
      </c>
      <c r="Y71" s="7" t="s">
        <v>1461</v>
      </c>
      <c r="Z71" s="7" t="s">
        <v>1462</v>
      </c>
      <c r="AA71" s="7" t="s">
        <v>1463</v>
      </c>
      <c r="AB71" s="7" t="s">
        <v>1464</v>
      </c>
      <c r="AC71" s="7" t="s">
        <v>1465</v>
      </c>
      <c r="AD71" s="7" t="s">
        <v>112</v>
      </c>
      <c r="AE71" s="7" t="s">
        <v>106</v>
      </c>
      <c r="AF71" s="7" t="s">
        <v>1466</v>
      </c>
      <c r="AG71" s="7" t="s">
        <v>1467</v>
      </c>
      <c r="AH71" s="7" t="s">
        <v>1468</v>
      </c>
      <c r="AI71" s="7" t="s">
        <v>1469</v>
      </c>
      <c r="AJ71" s="7" t="s">
        <v>1470</v>
      </c>
      <c r="AK71" s="10" t="s">
        <v>118</v>
      </c>
      <c r="AL71" s="10" t="s">
        <v>118</v>
      </c>
      <c r="AM71" s="10" t="s">
        <v>220</v>
      </c>
      <c r="AN71" s="10"/>
      <c r="AO71" s="7" t="str">
        <f aca="false">IF(AN71&lt;&gt;"","Exclude (duplicate)",IF(OR(AK71="Check",AL71="Check",AM71="Check"),"Check",IF(AND(AK71="Yes",AL71="Yes",AM71="Yes"),"Include","Exclude")))</f>
        <v>Exclude</v>
      </c>
      <c r="AP71" s="10" t="s">
        <v>1471</v>
      </c>
      <c r="AQ71" s="10" t="s">
        <v>222</v>
      </c>
      <c r="AR71" s="10"/>
      <c r="AS71" s="10"/>
      <c r="AT71" s="7" t="str">
        <f aca="false">IF(AR71="","",IFERROR(INDEX(Libraries!$B:$B,MATCH(AR71,Libraries!$A:$A,0)),"ID not found"))</f>
        <v/>
      </c>
    </row>
    <row r="72" customFormat="false" ht="45.75" hidden="false" customHeight="true" outlineLevel="0" collapsed="false">
      <c r="A72" s="7" t="s">
        <v>1472</v>
      </c>
      <c r="B72" s="7" t="s">
        <v>1473</v>
      </c>
      <c r="C72" s="7" t="s">
        <v>93</v>
      </c>
      <c r="D72" s="7" t="s">
        <v>1474</v>
      </c>
      <c r="E72" s="7" t="s">
        <v>1475</v>
      </c>
      <c r="F72" s="7" t="s">
        <v>152</v>
      </c>
      <c r="G72" s="7" t="s">
        <v>1476</v>
      </c>
      <c r="H72" s="7" t="s">
        <v>264</v>
      </c>
      <c r="I72" s="7" t="s">
        <v>1477</v>
      </c>
      <c r="J72" s="7" t="s">
        <v>1478</v>
      </c>
      <c r="K72" s="7" t="s">
        <v>155</v>
      </c>
      <c r="L72" s="7" t="s">
        <v>348</v>
      </c>
      <c r="M72" s="7" t="s">
        <v>1479</v>
      </c>
      <c r="N72" s="7" t="s">
        <v>1480</v>
      </c>
      <c r="O72" s="7" t="s">
        <v>106</v>
      </c>
      <c r="P72" s="7" t="s">
        <v>106</v>
      </c>
      <c r="Q72" s="7" t="s">
        <v>106</v>
      </c>
      <c r="R72" s="7" t="s">
        <v>106</v>
      </c>
      <c r="S72" s="7" t="s">
        <v>193</v>
      </c>
      <c r="T72" s="7" t="s">
        <v>1481</v>
      </c>
      <c r="U72" s="7" t="s">
        <v>106</v>
      </c>
      <c r="V72" s="7" t="s">
        <v>106</v>
      </c>
      <c r="W72" s="7" t="s">
        <v>1482</v>
      </c>
      <c r="X72" s="7" t="s">
        <v>1483</v>
      </c>
      <c r="Y72" s="7" t="s">
        <v>1484</v>
      </c>
      <c r="Z72" s="7" t="s">
        <v>1485</v>
      </c>
      <c r="AA72" s="7" t="s">
        <v>106</v>
      </c>
      <c r="AB72" s="7" t="s">
        <v>1486</v>
      </c>
      <c r="AC72" s="7" t="s">
        <v>1487</v>
      </c>
      <c r="AD72" s="7" t="s">
        <v>112</v>
      </c>
      <c r="AE72" s="7" t="s">
        <v>106</v>
      </c>
      <c r="AF72" s="7" t="s">
        <v>1488</v>
      </c>
      <c r="AG72" s="7" t="s">
        <v>1489</v>
      </c>
      <c r="AH72" s="7" t="s">
        <v>1490</v>
      </c>
      <c r="AI72" s="7" t="s">
        <v>1491</v>
      </c>
      <c r="AJ72" s="7" t="s">
        <v>1492</v>
      </c>
      <c r="AK72" s="10" t="s">
        <v>118</v>
      </c>
      <c r="AL72" s="10" t="s">
        <v>118</v>
      </c>
      <c r="AM72" s="10" t="s">
        <v>118</v>
      </c>
      <c r="AN72" s="10"/>
      <c r="AO72" s="7" t="str">
        <f aca="false">IF(AN72&lt;&gt;"","Exclude (duplicate)",IF(OR(AK72="Check",AL72="Check",AM72="Check"),"Check",IF(AND(AK72="Yes",AL72="Yes",AM72="Yes"),"Include","Exclude")))</f>
        <v>Include</v>
      </c>
      <c r="AP72" s="10"/>
      <c r="AQ72" s="10" t="s">
        <v>128</v>
      </c>
      <c r="AR72" s="10" t="s">
        <v>1493</v>
      </c>
      <c r="AS72" s="10"/>
      <c r="AT72" s="7" t="str">
        <f aca="false">IF(AR72="","",IFERROR(INDEX(Libraries!$B:$B,MATCH(AR72,Libraries!$A:$A,0)),"ID not found"))</f>
        <v>Moroccan Soil Spectral Library (MSSL)</v>
      </c>
    </row>
    <row r="73" customFormat="false" ht="45.75" hidden="false" customHeight="true" outlineLevel="0" collapsed="false">
      <c r="A73" s="7" t="s">
        <v>1494</v>
      </c>
      <c r="B73" s="7" t="s">
        <v>1495</v>
      </c>
      <c r="C73" s="7" t="s">
        <v>123</v>
      </c>
      <c r="D73" s="7" t="s">
        <v>1496</v>
      </c>
      <c r="E73" s="7" t="s">
        <v>95</v>
      </c>
      <c r="F73" s="7" t="s">
        <v>152</v>
      </c>
      <c r="G73" s="7" t="s">
        <v>1497</v>
      </c>
      <c r="H73" s="7" t="s">
        <v>264</v>
      </c>
      <c r="I73" s="7" t="s">
        <v>1498</v>
      </c>
      <c r="J73" s="7" t="s">
        <v>1499</v>
      </c>
      <c r="K73" s="7" t="s">
        <v>697</v>
      </c>
      <c r="L73" s="7" t="s">
        <v>1500</v>
      </c>
      <c r="M73" s="7" t="s">
        <v>1501</v>
      </c>
      <c r="N73" s="7" t="s">
        <v>1502</v>
      </c>
      <c r="O73" s="7" t="s">
        <v>1006</v>
      </c>
      <c r="P73" s="7" t="s">
        <v>1503</v>
      </c>
      <c r="Q73" s="7" t="s">
        <v>1006</v>
      </c>
      <c r="R73" s="7" t="s">
        <v>1504</v>
      </c>
      <c r="S73" s="7" t="s">
        <v>1505</v>
      </c>
      <c r="T73" s="7" t="s">
        <v>1506</v>
      </c>
      <c r="U73" s="7" t="s">
        <v>1507</v>
      </c>
      <c r="V73" s="7" t="s">
        <v>1006</v>
      </c>
      <c r="W73" s="7" t="s">
        <v>1508</v>
      </c>
      <c r="X73" s="7" t="s">
        <v>1509</v>
      </c>
      <c r="Y73" s="7" t="s">
        <v>106</v>
      </c>
      <c r="Z73" s="7" t="s">
        <v>1510</v>
      </c>
      <c r="AA73" s="7" t="s">
        <v>106</v>
      </c>
      <c r="AB73" s="7" t="s">
        <v>1511</v>
      </c>
      <c r="AC73" s="7" t="s">
        <v>106</v>
      </c>
      <c r="AD73" s="7" t="s">
        <v>106</v>
      </c>
      <c r="AE73" s="7" t="s">
        <v>1006</v>
      </c>
      <c r="AF73" s="7" t="s">
        <v>1006</v>
      </c>
      <c r="AG73" s="7" t="s">
        <v>1512</v>
      </c>
      <c r="AH73" s="7" t="s">
        <v>1513</v>
      </c>
      <c r="AI73" s="7" t="s">
        <v>1514</v>
      </c>
      <c r="AJ73" s="7" t="s">
        <v>1515</v>
      </c>
      <c r="AK73" s="10" t="s">
        <v>118</v>
      </c>
      <c r="AL73" s="10" t="s">
        <v>220</v>
      </c>
      <c r="AM73" s="10" t="s">
        <v>220</v>
      </c>
      <c r="AN73" s="10"/>
      <c r="AO73" s="7" t="str">
        <f aca="false">IF(AN73&lt;&gt;"","Exclude (duplicate)",IF(OR(AK73="Check",AL73="Check",AM73="Check"),"Check",IF(AND(AK73="Yes",AL73="Yes",AM73="Yes"),"Include","Exclude")))</f>
        <v>Exclude</v>
      </c>
      <c r="AP73" s="10" t="s">
        <v>1516</v>
      </c>
      <c r="AQ73" s="10" t="s">
        <v>222</v>
      </c>
      <c r="AR73" s="10"/>
      <c r="AS73" s="10"/>
      <c r="AT73" s="7" t="str">
        <f aca="false">IF(AR73="","",IFERROR(INDEX(Libraries!$B:$B,MATCH(AR73,Libraries!$A:$A,0)),"ID not found"))</f>
        <v/>
      </c>
    </row>
    <row r="74" customFormat="false" ht="45.75" hidden="false" customHeight="true" outlineLevel="0" collapsed="false">
      <c r="A74" s="7" t="s">
        <v>1517</v>
      </c>
      <c r="B74" s="7" t="s">
        <v>1518</v>
      </c>
      <c r="C74" s="7" t="s">
        <v>1126</v>
      </c>
      <c r="D74" s="7" t="s">
        <v>1519</v>
      </c>
      <c r="E74" s="7" t="s">
        <v>95</v>
      </c>
      <c r="F74" s="7" t="s">
        <v>215</v>
      </c>
      <c r="G74" s="7" t="s">
        <v>216</v>
      </c>
      <c r="H74" s="7" t="s">
        <v>126</v>
      </c>
      <c r="I74" s="7" t="s">
        <v>1498</v>
      </c>
      <c r="J74" s="7" t="s">
        <v>1520</v>
      </c>
      <c r="K74" s="7" t="s">
        <v>1521</v>
      </c>
      <c r="L74" s="7"/>
      <c r="M74" s="7"/>
      <c r="N74" s="7"/>
      <c r="O74" s="7"/>
      <c r="P74" s="7"/>
      <c r="Q74" s="7"/>
      <c r="R74" s="7"/>
      <c r="S74" s="7"/>
      <c r="T74" s="7"/>
      <c r="U74" s="7"/>
      <c r="V74" s="7"/>
      <c r="W74" s="7"/>
      <c r="X74" s="7"/>
      <c r="Y74" s="7"/>
      <c r="Z74" s="7"/>
      <c r="AA74" s="7"/>
      <c r="AB74" s="7"/>
      <c r="AC74" s="7"/>
      <c r="AD74" s="7"/>
      <c r="AE74" s="7"/>
      <c r="AF74" s="7"/>
      <c r="AG74" s="7"/>
      <c r="AH74" s="7"/>
      <c r="AI74" s="7"/>
      <c r="AJ74" s="7"/>
      <c r="AK74" s="10" t="s">
        <v>118</v>
      </c>
      <c r="AL74" s="10" t="s">
        <v>118</v>
      </c>
      <c r="AM74" s="10" t="s">
        <v>220</v>
      </c>
      <c r="AN74" s="10"/>
      <c r="AO74" s="7" t="str">
        <f aca="false">IF(AN74&lt;&gt;"","Exclude (duplicate)",IF(OR(AK74="Check",AL74="Check",AM74="Check"),"Check",IF(AND(AK74="Yes",AL74="Yes",AM74="Yes"),"Include","Exclude")))</f>
        <v>Exclude</v>
      </c>
      <c r="AP74" s="10" t="s">
        <v>1522</v>
      </c>
      <c r="AQ74" s="10" t="s">
        <v>222</v>
      </c>
      <c r="AR74" s="10"/>
      <c r="AS74" s="10"/>
      <c r="AT74" s="7" t="str">
        <f aca="false">IF(AR74="","",IFERROR(INDEX(Libraries!$B:$B,MATCH(AR74,Libraries!$A:$A,0)),"ID not found"))</f>
        <v/>
      </c>
    </row>
    <row r="75" customFormat="false" ht="34.5" hidden="false" customHeight="true" outlineLevel="0" collapsed="false">
      <c r="A75" s="7" t="s">
        <v>1523</v>
      </c>
      <c r="B75" s="7" t="s">
        <v>1524</v>
      </c>
      <c r="C75" s="7" t="s">
        <v>213</v>
      </c>
      <c r="D75" s="7" t="s">
        <v>1525</v>
      </c>
      <c r="E75" s="7" t="s">
        <v>1526</v>
      </c>
      <c r="F75" s="7" t="s">
        <v>152</v>
      </c>
      <c r="G75" s="7" t="s">
        <v>1527</v>
      </c>
      <c r="H75" s="7" t="s">
        <v>229</v>
      </c>
      <c r="I75" s="7" t="s">
        <v>1528</v>
      </c>
      <c r="J75" s="7" t="s">
        <v>1529</v>
      </c>
      <c r="K75" s="7" t="s">
        <v>1521</v>
      </c>
      <c r="L75" s="7"/>
      <c r="M75" s="7"/>
      <c r="N75" s="7"/>
      <c r="O75" s="7"/>
      <c r="P75" s="7"/>
      <c r="Q75" s="7"/>
      <c r="R75" s="7"/>
      <c r="S75" s="7"/>
      <c r="T75" s="7"/>
      <c r="U75" s="7"/>
      <c r="V75" s="7"/>
      <c r="W75" s="7"/>
      <c r="X75" s="7"/>
      <c r="Y75" s="7"/>
      <c r="Z75" s="7"/>
      <c r="AA75" s="7"/>
      <c r="AB75" s="7"/>
      <c r="AC75" s="7"/>
      <c r="AD75" s="7"/>
      <c r="AE75" s="7"/>
      <c r="AF75" s="7"/>
      <c r="AG75" s="7"/>
      <c r="AH75" s="7"/>
      <c r="AI75" s="7"/>
      <c r="AJ75" s="7"/>
      <c r="AK75" s="10" t="s">
        <v>118</v>
      </c>
      <c r="AL75" s="10" t="s">
        <v>118</v>
      </c>
      <c r="AM75" s="10" t="s">
        <v>118</v>
      </c>
      <c r="AN75" s="10"/>
      <c r="AO75" s="7" t="str">
        <f aca="false">IF(AN75&lt;&gt;"","Exclude (duplicate)",IF(OR(AK75="Check",AL75="Check",AM75="Check"),"Check",IF(AND(AK75="Yes",AL75="Yes",AM75="Yes"),"Include","Exclude")))</f>
        <v>Include</v>
      </c>
      <c r="AP75" s="10"/>
      <c r="AQ75" s="10" t="s">
        <v>128</v>
      </c>
      <c r="AR75" s="10" t="s">
        <v>1530</v>
      </c>
      <c r="AS75" s="10"/>
      <c r="AT75" s="7" t="str">
        <f aca="false">IF(AR75="","",IFERROR(INDEX(Libraries!$B:$B,MATCH(AR75,Libraries!$A:$A,0)),"ID not found"))</f>
        <v>Otago &amp; Southland regional SSL</v>
      </c>
    </row>
    <row r="76" customFormat="false" ht="45.75" hidden="false" customHeight="true" outlineLevel="0" collapsed="false">
      <c r="A76" s="7" t="s">
        <v>1531</v>
      </c>
      <c r="B76" s="7" t="s">
        <v>1532</v>
      </c>
      <c r="C76" s="7" t="s">
        <v>93</v>
      </c>
      <c r="D76" s="7" t="s">
        <v>1533</v>
      </c>
      <c r="E76" s="7" t="s">
        <v>95</v>
      </c>
      <c r="F76" s="7" t="s">
        <v>23</v>
      </c>
      <c r="G76" s="7" t="s">
        <v>228</v>
      </c>
      <c r="H76" s="7" t="s">
        <v>229</v>
      </c>
      <c r="I76" s="7" t="s">
        <v>1534</v>
      </c>
      <c r="J76" s="7" t="s">
        <v>1535</v>
      </c>
      <c r="K76" s="7" t="s">
        <v>155</v>
      </c>
      <c r="L76" s="7"/>
      <c r="M76" s="7"/>
      <c r="N76" s="7"/>
      <c r="O76" s="7"/>
      <c r="P76" s="7"/>
      <c r="Q76" s="7"/>
      <c r="R76" s="7"/>
      <c r="S76" s="7"/>
      <c r="T76" s="7"/>
      <c r="U76" s="7"/>
      <c r="V76" s="7"/>
      <c r="W76" s="7"/>
      <c r="X76" s="7"/>
      <c r="Y76" s="7"/>
      <c r="Z76" s="7"/>
      <c r="AA76" s="7"/>
      <c r="AB76" s="7"/>
      <c r="AC76" s="7"/>
      <c r="AD76" s="7"/>
      <c r="AE76" s="7"/>
      <c r="AF76" s="7"/>
      <c r="AG76" s="7"/>
      <c r="AH76" s="7"/>
      <c r="AI76" s="7"/>
      <c r="AJ76" s="7"/>
      <c r="AK76" s="10" t="s">
        <v>118</v>
      </c>
      <c r="AL76" s="10" t="s">
        <v>118</v>
      </c>
      <c r="AM76" s="10" t="s">
        <v>118</v>
      </c>
      <c r="AN76" s="10"/>
      <c r="AO76" s="7" t="str">
        <f aca="false">IF(AN76&lt;&gt;"","Exclude (duplicate)",IF(OR(AK76="Check",AL76="Check",AM76="Check"),"Check",IF(AND(AK76="Yes",AL76="Yes",AM76="Yes"),"Include","Exclude")))</f>
        <v>Include</v>
      </c>
      <c r="AP76" s="10"/>
      <c r="AQ76" s="10" t="s">
        <v>128</v>
      </c>
      <c r="AR76" s="10" t="s">
        <v>251</v>
      </c>
      <c r="AS76" s="10"/>
      <c r="AT76" s="7" t="str">
        <f aca="false">IF(AR76="","",IFERROR(INDEX(Libraries!$B:$B,MATCH(AR76,Libraries!$A:$A,0)),"ID not found"))</f>
        <v>New Zealand soil spectral library</v>
      </c>
    </row>
    <row r="77" customFormat="false" ht="57" hidden="false" customHeight="true" outlineLevel="0" collapsed="false">
      <c r="A77" s="7" t="s">
        <v>1536</v>
      </c>
      <c r="B77" s="7" t="s">
        <v>1537</v>
      </c>
      <c r="C77" s="7" t="s">
        <v>123</v>
      </c>
      <c r="D77" s="7" t="s">
        <v>1538</v>
      </c>
      <c r="E77" s="7" t="s">
        <v>1539</v>
      </c>
      <c r="F77" s="7" t="s">
        <v>152</v>
      </c>
      <c r="G77" s="7" t="s">
        <v>1540</v>
      </c>
      <c r="H77" s="7" t="s">
        <v>229</v>
      </c>
      <c r="I77" s="7" t="s">
        <v>1541</v>
      </c>
      <c r="J77" s="7" t="s">
        <v>1542</v>
      </c>
      <c r="K77" s="7" t="s">
        <v>1543</v>
      </c>
      <c r="L77" s="7"/>
      <c r="M77" s="7"/>
      <c r="N77" s="7"/>
      <c r="O77" s="7"/>
      <c r="P77" s="7"/>
      <c r="Q77" s="7"/>
      <c r="R77" s="7"/>
      <c r="S77" s="7"/>
      <c r="T77" s="7"/>
      <c r="U77" s="7"/>
      <c r="V77" s="7"/>
      <c r="W77" s="7"/>
      <c r="X77" s="7"/>
      <c r="Y77" s="7"/>
      <c r="Z77" s="7"/>
      <c r="AA77" s="7"/>
      <c r="AB77" s="7"/>
      <c r="AC77" s="7"/>
      <c r="AD77" s="7"/>
      <c r="AE77" s="7"/>
      <c r="AF77" s="7"/>
      <c r="AG77" s="7"/>
      <c r="AH77" s="7"/>
      <c r="AI77" s="7"/>
      <c r="AJ77" s="7"/>
      <c r="AK77" s="10" t="s">
        <v>118</v>
      </c>
      <c r="AL77" s="10" t="s">
        <v>118</v>
      </c>
      <c r="AM77" s="10" t="s">
        <v>118</v>
      </c>
      <c r="AN77" s="10"/>
      <c r="AO77" s="7" t="str">
        <f aca="false">IF(AN77&lt;&gt;"","Exclude (duplicate)",IF(OR(AK77="Check",AL77="Check",AM77="Check"),"Check",IF(AND(AK77="Yes",AL77="Yes",AM77="Yes"),"Include","Exclude")))</f>
        <v>Include</v>
      </c>
      <c r="AP77" s="10"/>
      <c r="AQ77" s="10" t="s">
        <v>119</v>
      </c>
      <c r="AR77" s="10" t="s">
        <v>1544</v>
      </c>
      <c r="AS77" s="10"/>
      <c r="AT77" s="7" t="str">
        <f aca="false">IF(AR77="","",IFERROR(INDEX(Libraries!$B:$B,MATCH(AR77,Libraries!$A:$A,0)),"ID not found"))</f>
        <v>Hawaiʻi soil health MIR library</v>
      </c>
    </row>
    <row r="78" customFormat="false" ht="90.75" hidden="false" customHeight="true" outlineLevel="0" collapsed="false">
      <c r="A78" s="7" t="s">
        <v>1545</v>
      </c>
      <c r="B78" s="7" t="s">
        <v>1546</v>
      </c>
      <c r="C78" s="7" t="s">
        <v>93</v>
      </c>
      <c r="D78" s="7" t="s">
        <v>1547</v>
      </c>
      <c r="E78" s="7" t="s">
        <v>95</v>
      </c>
      <c r="F78" s="7" t="s">
        <v>20</v>
      </c>
      <c r="G78" s="7" t="s">
        <v>1548</v>
      </c>
      <c r="H78" s="7" t="s">
        <v>1549</v>
      </c>
      <c r="I78" s="7" t="s">
        <v>1550</v>
      </c>
      <c r="J78" s="7" t="s">
        <v>1551</v>
      </c>
      <c r="K78" s="7" t="s">
        <v>1552</v>
      </c>
      <c r="L78" s="7" t="s">
        <v>1553</v>
      </c>
      <c r="M78" s="7" t="s">
        <v>1554</v>
      </c>
      <c r="N78" s="7" t="s">
        <v>278</v>
      </c>
      <c r="O78" s="7" t="s">
        <v>158</v>
      </c>
      <c r="P78" s="7" t="s">
        <v>1555</v>
      </c>
      <c r="Q78" s="7" t="s">
        <v>106</v>
      </c>
      <c r="R78" s="7" t="s">
        <v>1556</v>
      </c>
      <c r="S78" s="7" t="s">
        <v>1557</v>
      </c>
      <c r="T78" s="7" t="s">
        <v>1558</v>
      </c>
      <c r="U78" s="7" t="s">
        <v>1559</v>
      </c>
      <c r="V78" s="7" t="s">
        <v>106</v>
      </c>
      <c r="W78" s="7" t="s">
        <v>197</v>
      </c>
      <c r="X78" s="7" t="s">
        <v>1560</v>
      </c>
      <c r="Y78" s="7" t="s">
        <v>1561</v>
      </c>
      <c r="Z78" s="7" t="s">
        <v>1562</v>
      </c>
      <c r="AA78" s="7" t="s">
        <v>1563</v>
      </c>
      <c r="AB78" s="7" t="s">
        <v>1564</v>
      </c>
      <c r="AC78" s="7" t="s">
        <v>106</v>
      </c>
      <c r="AD78" s="7" t="s">
        <v>1565</v>
      </c>
      <c r="AE78" s="7" t="s">
        <v>1566</v>
      </c>
      <c r="AF78" s="7" t="s">
        <v>1567</v>
      </c>
      <c r="AG78" s="7" t="s">
        <v>1568</v>
      </c>
      <c r="AH78" s="7" t="s">
        <v>1569</v>
      </c>
      <c r="AI78" s="7" t="s">
        <v>1570</v>
      </c>
      <c r="AJ78" s="7" t="s">
        <v>1571</v>
      </c>
      <c r="AK78" s="10" t="s">
        <v>118</v>
      </c>
      <c r="AL78" s="10" t="s">
        <v>118</v>
      </c>
      <c r="AM78" s="10" t="s">
        <v>220</v>
      </c>
      <c r="AN78" s="10"/>
      <c r="AO78" s="7" t="str">
        <f aca="false">IF(AN78&lt;&gt;"","Exclude (duplicate)",IF(OR(AK78="Check",AL78="Check",AM78="Check"),"Check",IF(AND(AK78="Yes",AL78="Yes",AM78="Yes"),"Include","Exclude")))</f>
        <v>Exclude</v>
      </c>
      <c r="AP78" s="10" t="s">
        <v>1572</v>
      </c>
      <c r="AQ78" s="10" t="s">
        <v>222</v>
      </c>
      <c r="AR78" s="10"/>
      <c r="AS78" s="10"/>
      <c r="AT78" s="7" t="str">
        <f aca="false">IF(AR78="","",IFERROR(INDEX(Libraries!$B:$B,MATCH(AR78,Libraries!$A:$A,0)),"ID not found"))</f>
        <v/>
      </c>
    </row>
    <row r="79" customFormat="false" ht="102" hidden="false" customHeight="true" outlineLevel="0" collapsed="false">
      <c r="A79" s="7" t="s">
        <v>1573</v>
      </c>
      <c r="B79" s="7" t="s">
        <v>1574</v>
      </c>
      <c r="C79" s="7" t="s">
        <v>225</v>
      </c>
      <c r="D79" s="7" t="s">
        <v>1575</v>
      </c>
      <c r="E79" s="7" t="s">
        <v>1576</v>
      </c>
      <c r="F79" s="7" t="s">
        <v>20</v>
      </c>
      <c r="G79" s="7" t="s">
        <v>368</v>
      </c>
      <c r="H79" s="7" t="s">
        <v>368</v>
      </c>
      <c r="I79" s="7" t="s">
        <v>1577</v>
      </c>
      <c r="J79" s="7" t="s">
        <v>372</v>
      </c>
      <c r="K79" s="7" t="s">
        <v>95</v>
      </c>
      <c r="L79" s="7" t="s">
        <v>106</v>
      </c>
      <c r="M79" s="7" t="s">
        <v>1578</v>
      </c>
      <c r="N79" s="7" t="s">
        <v>723</v>
      </c>
      <c r="O79" s="7" t="s">
        <v>1299</v>
      </c>
      <c r="P79" s="7" t="s">
        <v>1579</v>
      </c>
      <c r="Q79" s="7" t="s">
        <v>1580</v>
      </c>
      <c r="R79" s="7" t="s">
        <v>1581</v>
      </c>
      <c r="S79" s="7" t="s">
        <v>1582</v>
      </c>
      <c r="T79" s="7" t="s">
        <v>1583</v>
      </c>
      <c r="U79" s="7" t="s">
        <v>106</v>
      </c>
      <c r="V79" s="7" t="s">
        <v>1584</v>
      </c>
      <c r="W79" s="7" t="s">
        <v>197</v>
      </c>
      <c r="X79" s="7" t="s">
        <v>1585</v>
      </c>
      <c r="Y79" s="7" t="s">
        <v>1586</v>
      </c>
      <c r="Z79" s="7" t="s">
        <v>1587</v>
      </c>
      <c r="AA79" s="7" t="s">
        <v>1588</v>
      </c>
      <c r="AB79" s="7" t="s">
        <v>1589</v>
      </c>
      <c r="AC79" s="7" t="s">
        <v>1590</v>
      </c>
      <c r="AD79" s="7" t="s">
        <v>1591</v>
      </c>
      <c r="AE79" s="7" t="s">
        <v>1592</v>
      </c>
      <c r="AF79" s="7" t="s">
        <v>1593</v>
      </c>
      <c r="AG79" s="7" t="s">
        <v>1594</v>
      </c>
      <c r="AH79" s="7" t="s">
        <v>1595</v>
      </c>
      <c r="AI79" s="7" t="s">
        <v>1596</v>
      </c>
      <c r="AJ79" s="7" t="s">
        <v>1597</v>
      </c>
      <c r="AK79" s="10" t="s">
        <v>118</v>
      </c>
      <c r="AL79" s="10" t="s">
        <v>118</v>
      </c>
      <c r="AM79" s="10" t="s">
        <v>118</v>
      </c>
      <c r="AN79" s="10"/>
      <c r="AO79" s="7" t="str">
        <f aca="false">IF(AN79&lt;&gt;"","Exclude (duplicate)",IF(OR(AK79="Check",AL79="Check",AM79="Check"),"Check",IF(AND(AK79="Yes",AL79="Yes",AM79="Yes"),"Include","Exclude")))</f>
        <v>Include</v>
      </c>
      <c r="AP79" s="10"/>
      <c r="AQ79" s="10" t="s">
        <v>329</v>
      </c>
      <c r="AR79" s="10" t="s">
        <v>408</v>
      </c>
      <c r="AS79" s="10"/>
      <c r="AT79" s="7" t="str">
        <f aca="false">IF(AR79="","",IFERROR(INDEX(Libraries!$B:$B,MATCH(AR79,Libraries!$A:$A,0)),"ID not found"))</f>
        <v>USDA NSSC-KSSL MIR library</v>
      </c>
    </row>
    <row r="80" customFormat="false" ht="113.25" hidden="false" customHeight="true" outlineLevel="0" collapsed="false">
      <c r="A80" s="7" t="s">
        <v>1598</v>
      </c>
      <c r="B80" s="7" t="s">
        <v>1599</v>
      </c>
      <c r="C80" s="7" t="s">
        <v>537</v>
      </c>
      <c r="D80" s="7" t="s">
        <v>1600</v>
      </c>
      <c r="E80" s="7" t="s">
        <v>95</v>
      </c>
      <c r="F80" s="7" t="s">
        <v>23</v>
      </c>
      <c r="G80" s="7" t="s">
        <v>301</v>
      </c>
      <c r="H80" s="7" t="s">
        <v>126</v>
      </c>
      <c r="I80" s="7" t="s">
        <v>1601</v>
      </c>
      <c r="J80" s="7" t="s">
        <v>1602</v>
      </c>
      <c r="K80" s="7" t="s">
        <v>1603</v>
      </c>
      <c r="L80" s="7"/>
      <c r="M80" s="7"/>
      <c r="N80" s="7"/>
      <c r="O80" s="7"/>
      <c r="P80" s="7"/>
      <c r="Q80" s="7"/>
      <c r="R80" s="7"/>
      <c r="S80" s="7"/>
      <c r="T80" s="7"/>
      <c r="U80" s="7"/>
      <c r="V80" s="7"/>
      <c r="W80" s="7"/>
      <c r="X80" s="7"/>
      <c r="Y80" s="7"/>
      <c r="Z80" s="7"/>
      <c r="AA80" s="7"/>
      <c r="AB80" s="7"/>
      <c r="AC80" s="7"/>
      <c r="AD80" s="7"/>
      <c r="AE80" s="7"/>
      <c r="AF80" s="7"/>
      <c r="AG80" s="7"/>
      <c r="AH80" s="7"/>
      <c r="AI80" s="7"/>
      <c r="AJ80" s="7"/>
      <c r="AK80" s="10" t="s">
        <v>118</v>
      </c>
      <c r="AL80" s="10" t="s">
        <v>118</v>
      </c>
      <c r="AM80" s="10" t="s">
        <v>220</v>
      </c>
      <c r="AN80" s="10"/>
      <c r="AO80" s="7" t="str">
        <f aca="false">IF(AN80&lt;&gt;"","Exclude (duplicate)",IF(OR(AK80="Check",AL80="Check",AM80="Check"),"Check",IF(AND(AK80="Yes",AL80="Yes",AM80="Yes"),"Include","Exclude")))</f>
        <v>Exclude</v>
      </c>
      <c r="AP80" s="10" t="s">
        <v>1604</v>
      </c>
      <c r="AQ80" s="10" t="s">
        <v>222</v>
      </c>
      <c r="AR80" s="10"/>
      <c r="AS80" s="10"/>
      <c r="AT80" s="7" t="str">
        <f aca="false">IF(AR80="","",IFERROR(INDEX(Libraries!$B:$B,MATCH(AR80,Libraries!$A:$A,0)),"ID not found"))</f>
        <v/>
      </c>
    </row>
    <row r="81" customFormat="false" ht="147" hidden="false" customHeight="true" outlineLevel="0" collapsed="false">
      <c r="A81" s="7" t="s">
        <v>1605</v>
      </c>
      <c r="B81" s="7" t="s">
        <v>1606</v>
      </c>
      <c r="C81" s="7" t="s">
        <v>93</v>
      </c>
      <c r="D81" s="7" t="s">
        <v>1607</v>
      </c>
      <c r="E81" s="11" t="s">
        <v>1576</v>
      </c>
      <c r="F81" s="7" t="s">
        <v>20</v>
      </c>
      <c r="G81" s="7" t="s">
        <v>466</v>
      </c>
      <c r="H81" s="7" t="s">
        <v>467</v>
      </c>
      <c r="I81" s="7" t="s">
        <v>1608</v>
      </c>
      <c r="J81" s="7" t="s">
        <v>1609</v>
      </c>
      <c r="K81" s="7" t="s">
        <v>1610</v>
      </c>
      <c r="L81" s="7" t="s">
        <v>1611</v>
      </c>
      <c r="M81" s="7" t="s">
        <v>1612</v>
      </c>
      <c r="N81" s="7" t="s">
        <v>723</v>
      </c>
      <c r="O81" s="7" t="s">
        <v>1299</v>
      </c>
      <c r="P81" s="7" t="s">
        <v>1613</v>
      </c>
      <c r="Q81" s="7" t="s">
        <v>106</v>
      </c>
      <c r="R81" s="7" t="s">
        <v>1614</v>
      </c>
      <c r="S81" s="7" t="s">
        <v>193</v>
      </c>
      <c r="T81" s="7" t="s">
        <v>1615</v>
      </c>
      <c r="U81" s="7" t="s">
        <v>1616</v>
      </c>
      <c r="V81" s="7" t="s">
        <v>1617</v>
      </c>
      <c r="W81" s="7" t="s">
        <v>197</v>
      </c>
      <c r="X81" s="7" t="s">
        <v>1618</v>
      </c>
      <c r="Y81" s="7" t="s">
        <v>1619</v>
      </c>
      <c r="Z81" s="7" t="s">
        <v>1620</v>
      </c>
      <c r="AA81" s="7" t="s">
        <v>106</v>
      </c>
      <c r="AB81" s="7" t="s">
        <v>1621</v>
      </c>
      <c r="AC81" s="7" t="s">
        <v>1622</v>
      </c>
      <c r="AD81" s="7" t="s">
        <v>112</v>
      </c>
      <c r="AE81" s="7" t="s">
        <v>1623</v>
      </c>
      <c r="AF81" s="7" t="s">
        <v>1624</v>
      </c>
      <c r="AG81" s="7" t="s">
        <v>1625</v>
      </c>
      <c r="AH81" s="7" t="s">
        <v>1626</v>
      </c>
      <c r="AI81" s="7" t="s">
        <v>1627</v>
      </c>
      <c r="AJ81" s="7" t="s">
        <v>1628</v>
      </c>
      <c r="AK81" s="10" t="s">
        <v>118</v>
      </c>
      <c r="AL81" s="10" t="s">
        <v>118</v>
      </c>
      <c r="AM81" s="10" t="s">
        <v>118</v>
      </c>
      <c r="AN81" s="10"/>
      <c r="AO81" s="7" t="str">
        <f aca="false">IF(AN81&lt;&gt;"","Exclude (duplicate)",IF(OR(AK81="Check",AL81="Check",AM81="Check"),"Check",IF(AND(AK81="Yes",AL81="Yes",AM81="Yes"),"Include","Exclude")))</f>
        <v>Include</v>
      </c>
      <c r="AP81" s="10"/>
      <c r="AQ81" s="10" t="s">
        <v>329</v>
      </c>
      <c r="AR81" s="10" t="s">
        <v>408</v>
      </c>
      <c r="AS81" s="10"/>
      <c r="AT81" s="7" t="str">
        <f aca="false">IF(AR81="","",IFERROR(INDEX(Libraries!$B:$B,MATCH(AR81,Libraries!$A:$A,0)),"ID not found"))</f>
        <v>USDA NSSC-KSSL MIR library</v>
      </c>
    </row>
    <row r="82" customFormat="false" ht="135.75" hidden="false" customHeight="true" outlineLevel="0" collapsed="false">
      <c r="A82" s="7" t="s">
        <v>1629</v>
      </c>
      <c r="B82" s="7" t="s">
        <v>1630</v>
      </c>
      <c r="C82" s="7" t="s">
        <v>93</v>
      </c>
      <c r="D82" s="7" t="s">
        <v>1631</v>
      </c>
      <c r="E82" s="7" t="s">
        <v>1632</v>
      </c>
      <c r="F82" s="7" t="s">
        <v>152</v>
      </c>
      <c r="G82" s="7" t="s">
        <v>563</v>
      </c>
      <c r="H82" s="7" t="s">
        <v>126</v>
      </c>
      <c r="I82" s="7" t="s">
        <v>1633</v>
      </c>
      <c r="J82" s="7" t="s">
        <v>1634</v>
      </c>
      <c r="K82" s="7" t="s">
        <v>1635</v>
      </c>
      <c r="L82" s="7"/>
      <c r="M82" s="7"/>
      <c r="N82" s="7"/>
      <c r="O82" s="7"/>
      <c r="P82" s="7"/>
      <c r="Q82" s="7"/>
      <c r="R82" s="7"/>
      <c r="S82" s="7"/>
      <c r="T82" s="7"/>
      <c r="U82" s="7"/>
      <c r="V82" s="7"/>
      <c r="W82" s="7"/>
      <c r="X82" s="7"/>
      <c r="Y82" s="7"/>
      <c r="Z82" s="7"/>
      <c r="AA82" s="7"/>
      <c r="AB82" s="7"/>
      <c r="AC82" s="7"/>
      <c r="AD82" s="7"/>
      <c r="AE82" s="7"/>
      <c r="AF82" s="7"/>
      <c r="AG82" s="7"/>
      <c r="AH82" s="7"/>
      <c r="AI82" s="7"/>
      <c r="AJ82" s="7"/>
      <c r="AK82" s="10" t="s">
        <v>118</v>
      </c>
      <c r="AL82" s="10" t="s">
        <v>118</v>
      </c>
      <c r="AM82" s="10" t="s">
        <v>118</v>
      </c>
      <c r="AN82" s="10"/>
      <c r="AO82" s="7" t="str">
        <f aca="false">IF(AN82&lt;&gt;"","Exclude (duplicate)",IF(OR(AK82="Check",AL82="Check",AM82="Check"),"Check",IF(AND(AK82="Yes",AL82="Yes",AM82="Yes"),"Include","Exclude")))</f>
        <v>Include</v>
      </c>
      <c r="AP82" s="10"/>
      <c r="AQ82" s="10" t="s">
        <v>128</v>
      </c>
      <c r="AR82" s="10" t="s">
        <v>1636</v>
      </c>
      <c r="AS82" s="10"/>
      <c r="AT82" s="7" t="str">
        <f aca="false">IF(AR82="","",IFERROR(INDEX(Libraries!$B:$B,MATCH(AR82,Libraries!$A:$A,0)),"ID not found"))</f>
        <v>Lateritic red soil spectral library (LRSSL)</v>
      </c>
    </row>
    <row r="83" customFormat="false" ht="23.25" hidden="false" customHeight="true" outlineLevel="0" collapsed="false">
      <c r="A83" s="7" t="s">
        <v>1637</v>
      </c>
      <c r="B83" s="11" t="s">
        <v>1638</v>
      </c>
      <c r="C83" s="7" t="s">
        <v>139</v>
      </c>
      <c r="D83" s="7" t="s">
        <v>1639</v>
      </c>
      <c r="E83" s="11" t="s">
        <v>465</v>
      </c>
      <c r="F83" s="7" t="s">
        <v>20</v>
      </c>
      <c r="G83" s="7" t="s">
        <v>466</v>
      </c>
      <c r="H83" s="7" t="s">
        <v>467</v>
      </c>
      <c r="I83" s="7" t="s">
        <v>1640</v>
      </c>
      <c r="J83" s="7" t="s">
        <v>1641</v>
      </c>
      <c r="K83" s="7" t="s">
        <v>372</v>
      </c>
      <c r="L83" s="7" t="s">
        <v>1642</v>
      </c>
      <c r="M83" s="7" t="s">
        <v>1643</v>
      </c>
      <c r="N83" s="7" t="s">
        <v>188</v>
      </c>
      <c r="O83" s="7" t="s">
        <v>1644</v>
      </c>
      <c r="P83" s="7" t="s">
        <v>1645</v>
      </c>
      <c r="Q83" s="7" t="s">
        <v>1646</v>
      </c>
      <c r="R83" s="7" t="s">
        <v>1647</v>
      </c>
      <c r="S83" s="7" t="s">
        <v>1648</v>
      </c>
      <c r="T83" s="7" t="s">
        <v>1649</v>
      </c>
      <c r="U83" s="7" t="s">
        <v>1650</v>
      </c>
      <c r="V83" s="7" t="s">
        <v>1651</v>
      </c>
      <c r="W83" s="7" t="s">
        <v>197</v>
      </c>
      <c r="X83" s="7" t="s">
        <v>1652</v>
      </c>
      <c r="Y83" s="7" t="s">
        <v>1653</v>
      </c>
      <c r="Z83" s="7" t="s">
        <v>1654</v>
      </c>
      <c r="AA83" s="7" t="s">
        <v>1655</v>
      </c>
      <c r="AB83" s="7" t="s">
        <v>1656</v>
      </c>
      <c r="AC83" s="7" t="s">
        <v>1657</v>
      </c>
      <c r="AD83" s="7" t="s">
        <v>1658</v>
      </c>
      <c r="AE83" s="7" t="s">
        <v>1659</v>
      </c>
      <c r="AF83" s="7" t="s">
        <v>1660</v>
      </c>
      <c r="AG83" s="7" t="s">
        <v>1661</v>
      </c>
      <c r="AH83" s="7" t="s">
        <v>1662</v>
      </c>
      <c r="AI83" s="7" t="s">
        <v>1663</v>
      </c>
      <c r="AJ83" s="7" t="s">
        <v>1664</v>
      </c>
      <c r="AK83" s="10" t="s">
        <v>118</v>
      </c>
      <c r="AL83" s="10" t="s">
        <v>118</v>
      </c>
      <c r="AM83" s="10" t="s">
        <v>118</v>
      </c>
      <c r="AN83" s="10"/>
      <c r="AO83" s="7" t="str">
        <f aca="false">IF(AN83&lt;&gt;"","Exclude (duplicate)",IF(OR(AK83="Check",AL83="Check",AM83="Check"),"Check",IF(AND(AK83="Yes",AL83="Yes",AM83="Yes"),"Include","Exclude")))</f>
        <v>Include</v>
      </c>
      <c r="AP83" s="10"/>
      <c r="AQ83" s="10" t="s">
        <v>642</v>
      </c>
      <c r="AR83" s="10" t="s">
        <v>408</v>
      </c>
      <c r="AS83" s="10"/>
      <c r="AT83" s="7" t="str">
        <f aca="false">IF(AR83="","",IFERROR(INDEX(Libraries!$B:$B,MATCH(AR83,Libraries!$A:$A,0)),"ID not found"))</f>
        <v>USDA NSSC-KSSL MIR library</v>
      </c>
    </row>
    <row r="84" customFormat="false" ht="45.75" hidden="false" customHeight="true" outlineLevel="0" collapsed="false">
      <c r="A84" s="7" t="s">
        <v>1665</v>
      </c>
      <c r="B84" s="7" t="s">
        <v>1666</v>
      </c>
      <c r="C84" s="7" t="s">
        <v>537</v>
      </c>
      <c r="D84" s="7" t="s">
        <v>1667</v>
      </c>
      <c r="E84" s="7" t="s">
        <v>1668</v>
      </c>
      <c r="F84" s="7" t="s">
        <v>215</v>
      </c>
      <c r="G84" s="7" t="s">
        <v>1669</v>
      </c>
      <c r="H84" s="7" t="s">
        <v>135</v>
      </c>
      <c r="I84" s="7" t="s">
        <v>1670</v>
      </c>
      <c r="J84" s="7" t="s">
        <v>1671</v>
      </c>
      <c r="K84" s="7" t="s">
        <v>1521</v>
      </c>
      <c r="L84" s="7" t="s">
        <v>1672</v>
      </c>
      <c r="M84" s="7" t="s">
        <v>1673</v>
      </c>
      <c r="N84" s="7" t="s">
        <v>278</v>
      </c>
      <c r="O84" s="7" t="s">
        <v>158</v>
      </c>
      <c r="P84" s="7" t="s">
        <v>1674</v>
      </c>
      <c r="Q84" s="7" t="s">
        <v>106</v>
      </c>
      <c r="R84" s="7" t="s">
        <v>1675</v>
      </c>
      <c r="S84" s="7" t="s">
        <v>1676</v>
      </c>
      <c r="T84" s="7" t="s">
        <v>1677</v>
      </c>
      <c r="U84" s="7" t="s">
        <v>1678</v>
      </c>
      <c r="V84" s="7" t="s">
        <v>1679</v>
      </c>
      <c r="W84" s="7" t="s">
        <v>1680</v>
      </c>
      <c r="X84" s="7" t="s">
        <v>1681</v>
      </c>
      <c r="Y84" s="7" t="s">
        <v>1682</v>
      </c>
      <c r="Z84" s="7" t="s">
        <v>1683</v>
      </c>
      <c r="AA84" s="7" t="s">
        <v>1684</v>
      </c>
      <c r="AB84" s="7" t="s">
        <v>1685</v>
      </c>
      <c r="AC84" s="7" t="s">
        <v>1686</v>
      </c>
      <c r="AD84" s="7" t="s">
        <v>112</v>
      </c>
      <c r="AE84" s="7" t="s">
        <v>106</v>
      </c>
      <c r="AF84" s="7" t="s">
        <v>1687</v>
      </c>
      <c r="AG84" s="7" t="s">
        <v>1688</v>
      </c>
      <c r="AH84" s="7" t="s">
        <v>1689</v>
      </c>
      <c r="AI84" s="7" t="s">
        <v>1690</v>
      </c>
      <c r="AJ84" s="7" t="s">
        <v>1691</v>
      </c>
      <c r="AK84" s="10" t="s">
        <v>118</v>
      </c>
      <c r="AL84" s="10" t="s">
        <v>118</v>
      </c>
      <c r="AM84" s="10" t="s">
        <v>220</v>
      </c>
      <c r="AN84" s="10"/>
      <c r="AO84" s="7" t="str">
        <f aca="false">IF(AN84&lt;&gt;"","Exclude (duplicate)",IF(OR(AK84="Check",AL84="Check",AM84="Check"),"Check",IF(AND(AK84="Yes",AL84="Yes",AM84="Yes"),"Include","Exclude")))</f>
        <v>Exclude</v>
      </c>
      <c r="AP84" s="10" t="s">
        <v>1692</v>
      </c>
      <c r="AQ84" s="10" t="s">
        <v>222</v>
      </c>
      <c r="AR84" s="10"/>
      <c r="AS84" s="10"/>
      <c r="AT84" s="7" t="str">
        <f aca="false">IF(AR84="","",IFERROR(INDEX(Libraries!$B:$B,MATCH(AR84,Libraries!$A:$A,0)),"ID not found"))</f>
        <v/>
      </c>
    </row>
    <row r="85" customFormat="false" ht="45.75" hidden="false" customHeight="true" outlineLevel="0" collapsed="false">
      <c r="A85" s="7" t="s">
        <v>1693</v>
      </c>
      <c r="B85" s="7" t="s">
        <v>1694</v>
      </c>
      <c r="C85" s="7" t="s">
        <v>225</v>
      </c>
      <c r="D85" s="7" t="s">
        <v>1695</v>
      </c>
      <c r="E85" s="7" t="s">
        <v>1696</v>
      </c>
      <c r="F85" s="7" t="s">
        <v>215</v>
      </c>
      <c r="G85" s="7" t="s">
        <v>563</v>
      </c>
      <c r="H85" s="7" t="s">
        <v>126</v>
      </c>
      <c r="I85" s="7" t="s">
        <v>1697</v>
      </c>
      <c r="J85" s="7" t="s">
        <v>1698</v>
      </c>
      <c r="K85" s="7" t="s">
        <v>1062</v>
      </c>
      <c r="L85" s="7" t="s">
        <v>1699</v>
      </c>
      <c r="M85" s="7" t="s">
        <v>1700</v>
      </c>
      <c r="N85" s="7" t="s">
        <v>1701</v>
      </c>
      <c r="O85" s="7" t="s">
        <v>1702</v>
      </c>
      <c r="P85" s="7" t="s">
        <v>1087</v>
      </c>
      <c r="Q85" s="7" t="s">
        <v>106</v>
      </c>
      <c r="R85" s="7" t="s">
        <v>238</v>
      </c>
      <c r="S85" s="7" t="s">
        <v>193</v>
      </c>
      <c r="T85" s="7" t="s">
        <v>104</v>
      </c>
      <c r="U85" s="7" t="s">
        <v>1703</v>
      </c>
      <c r="V85" s="7" t="s">
        <v>106</v>
      </c>
      <c r="W85" s="7" t="s">
        <v>1704</v>
      </c>
      <c r="X85" s="7" t="s">
        <v>1705</v>
      </c>
      <c r="Y85" s="7" t="s">
        <v>1706</v>
      </c>
      <c r="Z85" s="7" t="s">
        <v>1707</v>
      </c>
      <c r="AA85" s="7" t="s">
        <v>106</v>
      </c>
      <c r="AB85" s="7" t="s">
        <v>1708</v>
      </c>
      <c r="AC85" s="7" t="s">
        <v>1709</v>
      </c>
      <c r="AD85" s="7" t="s">
        <v>112</v>
      </c>
      <c r="AE85" s="7" t="s">
        <v>106</v>
      </c>
      <c r="AF85" s="7" t="s">
        <v>1710</v>
      </c>
      <c r="AG85" s="7" t="s">
        <v>1711</v>
      </c>
      <c r="AH85" s="7" t="s">
        <v>1712</v>
      </c>
      <c r="AI85" s="7" t="s">
        <v>1713</v>
      </c>
      <c r="AJ85" s="7" t="s">
        <v>1714</v>
      </c>
      <c r="AK85" s="10" t="s">
        <v>118</v>
      </c>
      <c r="AL85" s="10" t="s">
        <v>118</v>
      </c>
      <c r="AM85" s="10" t="s">
        <v>118</v>
      </c>
      <c r="AN85" s="10"/>
      <c r="AO85" s="7" t="str">
        <f aca="false">IF(AN85&lt;&gt;"","Exclude (duplicate)",IF(OR(AK85="Check",AL85="Check",AM85="Check"),"Check",IF(AND(AK85="Yes",AL85="Yes",AM85="Yes"),"Include","Exclude")))</f>
        <v>Include</v>
      </c>
      <c r="AP85" s="10"/>
      <c r="AQ85" s="10" t="s">
        <v>128</v>
      </c>
      <c r="AR85" s="10" t="s">
        <v>1227</v>
      </c>
      <c r="AS85" s="10"/>
      <c r="AT85" s="7" t="str">
        <f aca="false">IF(AR85="","",IFERROR(INDEX(Libraries!$B:$B,MATCH(AR85,Libraries!$A:$A,0)),"ID not found"))</f>
        <v>ICRAF-ISRIC global vis-NIR library</v>
      </c>
    </row>
    <row r="86" customFormat="false" ht="34.5" hidden="false" customHeight="true" outlineLevel="0" collapsed="false">
      <c r="A86" s="7" t="s">
        <v>1715</v>
      </c>
      <c r="B86" s="7" t="s">
        <v>1716</v>
      </c>
      <c r="C86" s="7" t="s">
        <v>213</v>
      </c>
      <c r="D86" s="7" t="s">
        <v>1717</v>
      </c>
      <c r="E86" s="7" t="s">
        <v>1718</v>
      </c>
      <c r="F86" s="7" t="s">
        <v>152</v>
      </c>
      <c r="G86" s="7" t="s">
        <v>142</v>
      </c>
      <c r="H86" s="7" t="s">
        <v>143</v>
      </c>
      <c r="I86" s="7" t="s">
        <v>1719</v>
      </c>
      <c r="J86" s="7" t="s">
        <v>1720</v>
      </c>
      <c r="K86" s="7" t="s">
        <v>155</v>
      </c>
      <c r="L86" s="7" t="s">
        <v>106</v>
      </c>
      <c r="M86" s="7" t="s">
        <v>1721</v>
      </c>
      <c r="N86" s="7" t="s">
        <v>1722</v>
      </c>
      <c r="O86" s="7" t="s">
        <v>1723</v>
      </c>
      <c r="P86" s="7" t="s">
        <v>1724</v>
      </c>
      <c r="Q86" s="7" t="s">
        <v>106</v>
      </c>
      <c r="R86" s="7" t="s">
        <v>1725</v>
      </c>
      <c r="S86" s="7" t="s">
        <v>1726</v>
      </c>
      <c r="T86" s="7" t="s">
        <v>104</v>
      </c>
      <c r="U86" s="7" t="s">
        <v>1727</v>
      </c>
      <c r="V86" s="7" t="s">
        <v>106</v>
      </c>
      <c r="W86" s="7" t="s">
        <v>1728</v>
      </c>
      <c r="X86" s="7" t="s">
        <v>1729</v>
      </c>
      <c r="Y86" s="7" t="s">
        <v>1730</v>
      </c>
      <c r="Z86" s="7" t="s">
        <v>1731</v>
      </c>
      <c r="AA86" s="7" t="s">
        <v>106</v>
      </c>
      <c r="AB86" s="7" t="s">
        <v>1732</v>
      </c>
      <c r="AC86" s="7" t="s">
        <v>1733</v>
      </c>
      <c r="AD86" s="7" t="s">
        <v>112</v>
      </c>
      <c r="AE86" s="7" t="s">
        <v>106</v>
      </c>
      <c r="AF86" s="7" t="s">
        <v>106</v>
      </c>
      <c r="AG86" s="7" t="s">
        <v>1734</v>
      </c>
      <c r="AH86" s="7" t="s">
        <v>1735</v>
      </c>
      <c r="AI86" s="7" t="s">
        <v>1736</v>
      </c>
      <c r="AJ86" s="7" t="s">
        <v>1737</v>
      </c>
      <c r="AK86" s="10" t="s">
        <v>118</v>
      </c>
      <c r="AL86" s="10" t="s">
        <v>118</v>
      </c>
      <c r="AM86" s="10" t="s">
        <v>118</v>
      </c>
      <c r="AN86" s="10"/>
      <c r="AO86" s="7" t="str">
        <f aca="false">IF(AN86&lt;&gt;"","Exclude (duplicate)",IF(OR(AK86="Check",AL86="Check",AM86="Check"),"Check",IF(AND(AK86="Yes",AL86="Yes",AM86="Yes"),"Include","Exclude")))</f>
        <v>Include</v>
      </c>
      <c r="AP86" s="10"/>
      <c r="AQ86" s="10" t="s">
        <v>119</v>
      </c>
      <c r="AR86" s="10" t="s">
        <v>1738</v>
      </c>
      <c r="AS86" s="10"/>
      <c r="AT86" s="7" t="str">
        <f aca="false">IF(AR86="","",IFERROR(INDEX(Libraries!$B:$B,MATCH(AR86,Libraries!$A:$A,0)),"ID not found"))</f>
        <v>Routine-laboratory NeoSpectra NIR library (Brazil)</v>
      </c>
    </row>
    <row r="87" customFormat="false" ht="45.75" hidden="false" customHeight="true" outlineLevel="0" collapsed="false">
      <c r="A87" s="7" t="s">
        <v>1739</v>
      </c>
      <c r="B87" s="7" t="s">
        <v>1740</v>
      </c>
      <c r="C87" s="7" t="s">
        <v>123</v>
      </c>
      <c r="D87" s="7" t="s">
        <v>1741</v>
      </c>
      <c r="E87" s="7" t="s">
        <v>95</v>
      </c>
      <c r="F87" s="7" t="s">
        <v>23</v>
      </c>
      <c r="G87" s="7" t="s">
        <v>301</v>
      </c>
      <c r="H87" s="7" t="s">
        <v>126</v>
      </c>
      <c r="I87" s="7" t="s">
        <v>1742</v>
      </c>
      <c r="J87" s="7" t="s">
        <v>1743</v>
      </c>
      <c r="K87" s="7" t="s">
        <v>155</v>
      </c>
      <c r="L87" s="7"/>
      <c r="M87" s="7"/>
      <c r="N87" s="7"/>
      <c r="O87" s="7"/>
      <c r="P87" s="7"/>
      <c r="Q87" s="7"/>
      <c r="R87" s="7"/>
      <c r="S87" s="7"/>
      <c r="T87" s="7"/>
      <c r="U87" s="7"/>
      <c r="V87" s="7"/>
      <c r="W87" s="7"/>
      <c r="X87" s="7"/>
      <c r="Y87" s="7"/>
      <c r="Z87" s="7"/>
      <c r="AA87" s="7"/>
      <c r="AB87" s="7"/>
      <c r="AC87" s="7"/>
      <c r="AD87" s="7"/>
      <c r="AE87" s="7"/>
      <c r="AF87" s="7"/>
      <c r="AG87" s="7"/>
      <c r="AH87" s="7"/>
      <c r="AI87" s="7"/>
      <c r="AJ87" s="7"/>
      <c r="AK87" s="10" t="s">
        <v>118</v>
      </c>
      <c r="AL87" s="10" t="s">
        <v>118</v>
      </c>
      <c r="AM87" s="10" t="s">
        <v>118</v>
      </c>
      <c r="AN87" s="10"/>
      <c r="AO87" s="7" t="str">
        <f aca="false">IF(AN87&lt;&gt;"","Exclude (duplicate)",IF(OR(AK87="Check",AL87="Check",AM87="Check"),"Check",IF(AND(AK87="Yes",AL87="Yes",AM87="Yes"),"Include","Exclude")))</f>
        <v>Include</v>
      </c>
      <c r="AP87" s="10" t="s">
        <v>1744</v>
      </c>
      <c r="AQ87" s="10" t="s">
        <v>329</v>
      </c>
      <c r="AR87" s="10" t="s">
        <v>330</v>
      </c>
      <c r="AS87" s="10"/>
      <c r="AT87" s="7" t="str">
        <f aca="false">IF(AR87="","",IFERROR(INDEX(Libraries!$B:$B,MATCH(AR87,Libraries!$A:$A,0)),"ID not found"))</f>
        <v>Tel Aviv University legacy soil spectral library</v>
      </c>
    </row>
    <row r="88" customFormat="false" ht="68.25" hidden="false" customHeight="true" outlineLevel="0" collapsed="false">
      <c r="A88" s="7" t="s">
        <v>1745</v>
      </c>
      <c r="B88" s="7" t="s">
        <v>1746</v>
      </c>
      <c r="C88" s="7" t="s">
        <v>123</v>
      </c>
      <c r="D88" s="7" t="s">
        <v>1747</v>
      </c>
      <c r="E88" s="7" t="s">
        <v>95</v>
      </c>
      <c r="F88" s="7" t="s">
        <v>215</v>
      </c>
      <c r="G88" s="7" t="s">
        <v>1748</v>
      </c>
      <c r="H88" s="7" t="s">
        <v>135</v>
      </c>
      <c r="I88" s="7" t="s">
        <v>1749</v>
      </c>
      <c r="J88" s="7" t="s">
        <v>1750</v>
      </c>
      <c r="K88" s="7" t="s">
        <v>1751</v>
      </c>
      <c r="L88" s="7"/>
      <c r="M88" s="7"/>
      <c r="N88" s="7"/>
      <c r="O88" s="7"/>
      <c r="P88" s="7"/>
      <c r="Q88" s="7"/>
      <c r="R88" s="7"/>
      <c r="S88" s="7"/>
      <c r="T88" s="7"/>
      <c r="U88" s="7"/>
      <c r="V88" s="7"/>
      <c r="W88" s="7"/>
      <c r="X88" s="7"/>
      <c r="Y88" s="7"/>
      <c r="Z88" s="7"/>
      <c r="AA88" s="7"/>
      <c r="AB88" s="7"/>
      <c r="AC88" s="7"/>
      <c r="AD88" s="7"/>
      <c r="AE88" s="7"/>
      <c r="AF88" s="7"/>
      <c r="AG88" s="7"/>
      <c r="AH88" s="7"/>
      <c r="AI88" s="7"/>
      <c r="AJ88" s="7"/>
      <c r="AK88" s="10" t="s">
        <v>118</v>
      </c>
      <c r="AL88" s="10" t="s">
        <v>118</v>
      </c>
      <c r="AM88" s="10" t="s">
        <v>220</v>
      </c>
      <c r="AN88" s="10"/>
      <c r="AO88" s="7" t="str">
        <f aca="false">IF(AN88&lt;&gt;"","Exclude (duplicate)",IF(OR(AK88="Check",AL88="Check",AM88="Check"),"Check",IF(AND(AK88="Yes",AL88="Yes",AM88="Yes"),"Include","Exclude")))</f>
        <v>Exclude</v>
      </c>
      <c r="AP88" s="10" t="s">
        <v>1752</v>
      </c>
      <c r="AQ88" s="10" t="s">
        <v>222</v>
      </c>
      <c r="AR88" s="10"/>
      <c r="AS88" s="10"/>
      <c r="AT88" s="7" t="str">
        <f aca="false">IF(AR88="","",IFERROR(INDEX(Libraries!$B:$B,MATCH(AR88,Libraries!$A:$A,0)),"ID not found"))</f>
        <v/>
      </c>
    </row>
    <row r="89" customFormat="false" ht="57" hidden="false" customHeight="true" outlineLevel="0" collapsed="false">
      <c r="A89" s="7" t="s">
        <v>1753</v>
      </c>
      <c r="B89" s="7" t="s">
        <v>1754</v>
      </c>
      <c r="C89" s="7" t="s">
        <v>93</v>
      </c>
      <c r="D89" s="7" t="s">
        <v>1755</v>
      </c>
      <c r="E89" s="7" t="s">
        <v>1756</v>
      </c>
      <c r="F89" s="7" t="s">
        <v>152</v>
      </c>
      <c r="G89" s="7" t="s">
        <v>1757</v>
      </c>
      <c r="H89" s="7" t="s">
        <v>264</v>
      </c>
      <c r="I89" s="7" t="s">
        <v>1758</v>
      </c>
      <c r="J89" s="7" t="s">
        <v>1759</v>
      </c>
      <c r="K89" s="7" t="s">
        <v>697</v>
      </c>
      <c r="L89" s="7" t="s">
        <v>106</v>
      </c>
      <c r="M89" s="7" t="s">
        <v>1760</v>
      </c>
      <c r="N89" s="7" t="s">
        <v>723</v>
      </c>
      <c r="O89" s="7" t="s">
        <v>1761</v>
      </c>
      <c r="P89" s="7" t="s">
        <v>1762</v>
      </c>
      <c r="Q89" s="7" t="s">
        <v>106</v>
      </c>
      <c r="R89" s="7" t="s">
        <v>238</v>
      </c>
      <c r="S89" s="7" t="s">
        <v>193</v>
      </c>
      <c r="T89" s="7" t="s">
        <v>1763</v>
      </c>
      <c r="U89" s="7" t="s">
        <v>1764</v>
      </c>
      <c r="V89" s="7" t="s">
        <v>106</v>
      </c>
      <c r="W89" s="7" t="s">
        <v>197</v>
      </c>
      <c r="X89" s="7" t="s">
        <v>1765</v>
      </c>
      <c r="Y89" s="7" t="s">
        <v>1379</v>
      </c>
      <c r="Z89" s="7" t="s">
        <v>1766</v>
      </c>
      <c r="AA89" s="7" t="s">
        <v>106</v>
      </c>
      <c r="AB89" s="7" t="s">
        <v>1767</v>
      </c>
      <c r="AC89" s="7" t="s">
        <v>1768</v>
      </c>
      <c r="AD89" s="7" t="s">
        <v>112</v>
      </c>
      <c r="AE89" s="7" t="s">
        <v>106</v>
      </c>
      <c r="AF89" s="7" t="s">
        <v>1769</v>
      </c>
      <c r="AG89" s="7" t="s">
        <v>1770</v>
      </c>
      <c r="AH89" s="7" t="s">
        <v>1771</v>
      </c>
      <c r="AI89" s="7" t="s">
        <v>1772</v>
      </c>
      <c r="AJ89" s="7" t="s">
        <v>1773</v>
      </c>
      <c r="AK89" s="10" t="s">
        <v>118</v>
      </c>
      <c r="AL89" s="10" t="s">
        <v>118</v>
      </c>
      <c r="AM89" s="10" t="s">
        <v>118</v>
      </c>
      <c r="AN89" s="10"/>
      <c r="AO89" s="7" t="str">
        <f aca="false">IF(AN89&lt;&gt;"","Exclude (duplicate)",IF(OR(AK89="Check",AL89="Check",AM89="Check"),"Check",IF(AND(AK89="Yes",AL89="Yes",AM89="Yes"),"Include","Exclude")))</f>
        <v>Include</v>
      </c>
      <c r="AP89" s="10"/>
      <c r="AQ89" s="10" t="s">
        <v>119</v>
      </c>
      <c r="AR89" s="10" t="s">
        <v>1774</v>
      </c>
      <c r="AS89" s="10" t="s">
        <v>398</v>
      </c>
      <c r="AT89" s="7" t="str">
        <f aca="false">IF(AR89="","",IFERROR(INDEX(Libraries!$B:$B,MATCH(AR89,Libraries!$A:$A,0)),"ID not found"))</f>
        <v>Western Highveld MIR library (South Africa)</v>
      </c>
    </row>
    <row r="90" customFormat="false" ht="34.5" hidden="false" customHeight="true" outlineLevel="0" collapsed="false">
      <c r="A90" s="7" t="s">
        <v>1775</v>
      </c>
      <c r="B90" s="7" t="s">
        <v>1776</v>
      </c>
      <c r="C90" s="7" t="s">
        <v>225</v>
      </c>
      <c r="D90" s="7" t="s">
        <v>1777</v>
      </c>
      <c r="E90" s="7" t="s">
        <v>1778</v>
      </c>
      <c r="F90" s="7" t="s">
        <v>23</v>
      </c>
      <c r="G90" s="7" t="s">
        <v>588</v>
      </c>
      <c r="H90" s="7" t="s">
        <v>135</v>
      </c>
      <c r="I90" s="7" t="s">
        <v>1779</v>
      </c>
      <c r="J90" s="7" t="s">
        <v>1780</v>
      </c>
      <c r="K90" s="7" t="s">
        <v>1781</v>
      </c>
      <c r="L90" s="7" t="s">
        <v>1782</v>
      </c>
      <c r="M90" s="7" t="s">
        <v>1783</v>
      </c>
      <c r="N90" s="7" t="s">
        <v>1784</v>
      </c>
      <c r="O90" s="7" t="s">
        <v>1785</v>
      </c>
      <c r="P90" s="7" t="s">
        <v>1786</v>
      </c>
      <c r="Q90" s="7" t="s">
        <v>106</v>
      </c>
      <c r="R90" s="7" t="s">
        <v>1787</v>
      </c>
      <c r="S90" s="7" t="s">
        <v>193</v>
      </c>
      <c r="T90" s="7" t="s">
        <v>1788</v>
      </c>
      <c r="U90" s="7" t="s">
        <v>1789</v>
      </c>
      <c r="V90" s="7" t="s">
        <v>106</v>
      </c>
      <c r="W90" s="7" t="s">
        <v>1790</v>
      </c>
      <c r="X90" s="7" t="s">
        <v>1791</v>
      </c>
      <c r="Y90" s="7" t="s">
        <v>1792</v>
      </c>
      <c r="Z90" s="7" t="s">
        <v>705</v>
      </c>
      <c r="AA90" s="7" t="s">
        <v>1793</v>
      </c>
      <c r="AB90" s="7" t="s">
        <v>1794</v>
      </c>
      <c r="AC90" s="7" t="s">
        <v>1795</v>
      </c>
      <c r="AD90" s="7" t="s">
        <v>112</v>
      </c>
      <c r="AE90" s="7" t="s">
        <v>1796</v>
      </c>
      <c r="AF90" s="7" t="s">
        <v>1797</v>
      </c>
      <c r="AG90" s="7" t="s">
        <v>1798</v>
      </c>
      <c r="AH90" s="7" t="s">
        <v>1799</v>
      </c>
      <c r="AI90" s="7" t="s">
        <v>1800</v>
      </c>
      <c r="AJ90" s="7" t="s">
        <v>1801</v>
      </c>
      <c r="AK90" s="10" t="s">
        <v>118</v>
      </c>
      <c r="AL90" s="10" t="s">
        <v>118</v>
      </c>
      <c r="AM90" s="10" t="s">
        <v>118</v>
      </c>
      <c r="AN90" s="10"/>
      <c r="AO90" s="7" t="str">
        <f aca="false">IF(AN90&lt;&gt;"","Exclude (duplicate)",IF(OR(AK90="Check",AL90="Check",AM90="Check"),"Check",IF(AND(AK90="Yes",AL90="Yes",AM90="Yes"),"Include","Exclude")))</f>
        <v>Include</v>
      </c>
      <c r="AP90" s="10"/>
      <c r="AQ90" s="10" t="s">
        <v>128</v>
      </c>
      <c r="AR90" s="10" t="s">
        <v>1802</v>
      </c>
      <c r="AS90" s="10"/>
      <c r="AT90" s="7" t="str">
        <f aca="false">IF(AR90="","",IFERROR(INDEX(Libraries!$B:$B,MATCH(AR90,Libraries!$A:$A,0)),"ID not found"))</f>
        <v>Irish mineral/organo-mineral MIR library</v>
      </c>
    </row>
    <row r="91" customFormat="false" ht="57" hidden="false" customHeight="true" outlineLevel="0" collapsed="false">
      <c r="A91" s="7" t="s">
        <v>1803</v>
      </c>
      <c r="B91" s="7" t="s">
        <v>1804</v>
      </c>
      <c r="C91" s="7" t="s">
        <v>93</v>
      </c>
      <c r="D91" s="7" t="s">
        <v>1805</v>
      </c>
      <c r="E91" s="7" t="s">
        <v>95</v>
      </c>
      <c r="F91" s="7" t="s">
        <v>20</v>
      </c>
      <c r="G91" s="7" t="s">
        <v>368</v>
      </c>
      <c r="H91" s="7" t="s">
        <v>368</v>
      </c>
      <c r="I91" s="7" t="s">
        <v>368</v>
      </c>
      <c r="J91" s="7" t="s">
        <v>1806</v>
      </c>
      <c r="K91" s="7" t="s">
        <v>95</v>
      </c>
      <c r="L91" s="7"/>
      <c r="M91" s="7"/>
      <c r="N91" s="7"/>
      <c r="O91" s="7"/>
      <c r="P91" s="7"/>
      <c r="Q91" s="7"/>
      <c r="R91" s="7"/>
      <c r="S91" s="7"/>
      <c r="T91" s="7"/>
      <c r="U91" s="7"/>
      <c r="V91" s="7"/>
      <c r="W91" s="7"/>
      <c r="X91" s="7"/>
      <c r="Y91" s="7"/>
      <c r="Z91" s="7"/>
      <c r="AA91" s="7"/>
      <c r="AB91" s="7"/>
      <c r="AC91" s="7"/>
      <c r="AD91" s="7"/>
      <c r="AE91" s="7"/>
      <c r="AF91" s="7"/>
      <c r="AG91" s="7"/>
      <c r="AH91" s="7"/>
      <c r="AI91" s="7"/>
      <c r="AJ91" s="7"/>
      <c r="AK91" s="10" t="s">
        <v>118</v>
      </c>
      <c r="AL91" s="10" t="s">
        <v>118</v>
      </c>
      <c r="AM91" s="10" t="s">
        <v>220</v>
      </c>
      <c r="AN91" s="10"/>
      <c r="AO91" s="7" t="str">
        <f aca="false">IF(AN91&lt;&gt;"","Exclude (duplicate)",IF(OR(AK91="Check",AL91="Check",AM91="Check"),"Check",IF(AND(AK91="Yes",AL91="Yes",AM91="Yes"),"Include","Exclude")))</f>
        <v>Exclude</v>
      </c>
      <c r="AP91" s="10" t="s">
        <v>1807</v>
      </c>
      <c r="AQ91" s="10" t="s">
        <v>222</v>
      </c>
      <c r="AR91" s="10"/>
      <c r="AS91" s="10"/>
      <c r="AT91" s="7" t="str">
        <f aca="false">IF(AR91="","",IFERROR(INDEX(Libraries!$B:$B,MATCH(AR91,Libraries!$A:$A,0)),"ID not found"))</f>
        <v/>
      </c>
    </row>
    <row r="92" customFormat="false" ht="34.5" hidden="false" customHeight="true" outlineLevel="0" collapsed="false">
      <c r="A92" s="7" t="s">
        <v>1808</v>
      </c>
      <c r="B92" s="7" t="s">
        <v>1809</v>
      </c>
      <c r="C92" s="7" t="s">
        <v>412</v>
      </c>
      <c r="D92" s="7" t="s">
        <v>1810</v>
      </c>
      <c r="E92" s="7" t="s">
        <v>95</v>
      </c>
      <c r="F92" s="7" t="s">
        <v>152</v>
      </c>
      <c r="G92" s="7" t="s">
        <v>1811</v>
      </c>
      <c r="H92" s="7" t="s">
        <v>1812</v>
      </c>
      <c r="I92" s="7" t="s">
        <v>368</v>
      </c>
      <c r="J92" s="7" t="s">
        <v>1813</v>
      </c>
      <c r="K92" s="7" t="s">
        <v>1603</v>
      </c>
      <c r="L92" s="7"/>
      <c r="M92" s="7"/>
      <c r="N92" s="7"/>
      <c r="O92" s="7"/>
      <c r="P92" s="7"/>
      <c r="Q92" s="7"/>
      <c r="R92" s="7"/>
      <c r="S92" s="7"/>
      <c r="T92" s="7"/>
      <c r="U92" s="7"/>
      <c r="V92" s="7"/>
      <c r="W92" s="7"/>
      <c r="X92" s="7"/>
      <c r="Y92" s="7"/>
      <c r="Z92" s="7"/>
      <c r="AA92" s="7"/>
      <c r="AB92" s="7"/>
      <c r="AC92" s="7"/>
      <c r="AD92" s="7"/>
      <c r="AE92" s="7"/>
      <c r="AF92" s="7"/>
      <c r="AG92" s="7"/>
      <c r="AH92" s="7"/>
      <c r="AI92" s="7"/>
      <c r="AJ92" s="7"/>
      <c r="AK92" s="10" t="s">
        <v>118</v>
      </c>
      <c r="AL92" s="10" t="s">
        <v>118</v>
      </c>
      <c r="AM92" s="10" t="s">
        <v>220</v>
      </c>
      <c r="AN92" s="10"/>
      <c r="AO92" s="7" t="str">
        <f aca="false">IF(AN92&lt;&gt;"","Exclude (duplicate)",IF(OR(AK92="Check",AL92="Check",AM92="Check"),"Check",IF(AND(AK92="Yes",AL92="Yes",AM92="Yes"),"Include","Exclude")))</f>
        <v>Exclude</v>
      </c>
      <c r="AP92" s="10" t="s">
        <v>1814</v>
      </c>
      <c r="AQ92" s="10" t="s">
        <v>222</v>
      </c>
      <c r="AR92" s="10"/>
      <c r="AS92" s="10"/>
      <c r="AT92" s="7" t="str">
        <f aca="false">IF(AR92="","",IFERROR(INDEX(Libraries!$B:$B,MATCH(AR92,Libraries!$A:$A,0)),"ID not found"))</f>
        <v/>
      </c>
    </row>
    <row r="93" customFormat="false" ht="57" hidden="false" customHeight="true" outlineLevel="0" collapsed="false">
      <c r="A93" s="7" t="s">
        <v>1815</v>
      </c>
      <c r="B93" s="7" t="s">
        <v>1816</v>
      </c>
      <c r="C93" s="7" t="s">
        <v>458</v>
      </c>
      <c r="D93" s="7" t="s">
        <v>1817</v>
      </c>
      <c r="E93" s="7" t="s">
        <v>95</v>
      </c>
      <c r="F93" s="7" t="s">
        <v>23</v>
      </c>
      <c r="G93" s="7" t="s">
        <v>301</v>
      </c>
      <c r="H93" s="7" t="s">
        <v>126</v>
      </c>
      <c r="I93" s="7" t="s">
        <v>368</v>
      </c>
      <c r="J93" s="7" t="s">
        <v>1818</v>
      </c>
      <c r="K93" s="7" t="s">
        <v>1819</v>
      </c>
      <c r="L93" s="7"/>
      <c r="M93" s="7"/>
      <c r="N93" s="7"/>
      <c r="O93" s="7"/>
      <c r="P93" s="7"/>
      <c r="Q93" s="7"/>
      <c r="R93" s="7"/>
      <c r="S93" s="7"/>
      <c r="T93" s="7"/>
      <c r="U93" s="7"/>
      <c r="V93" s="7"/>
      <c r="W93" s="7"/>
      <c r="X93" s="7"/>
      <c r="Y93" s="7"/>
      <c r="Z93" s="7"/>
      <c r="AA93" s="7"/>
      <c r="AB93" s="7"/>
      <c r="AC93" s="7"/>
      <c r="AD93" s="7"/>
      <c r="AE93" s="7"/>
      <c r="AF93" s="7"/>
      <c r="AG93" s="7"/>
      <c r="AH93" s="7"/>
      <c r="AI93" s="7"/>
      <c r="AJ93" s="7"/>
      <c r="AK93" s="10" t="s">
        <v>118</v>
      </c>
      <c r="AL93" s="10" t="s">
        <v>118</v>
      </c>
      <c r="AM93" s="10" t="s">
        <v>220</v>
      </c>
      <c r="AN93" s="10"/>
      <c r="AO93" s="7" t="str">
        <f aca="false">IF(AN93&lt;&gt;"","Exclude (duplicate)",IF(OR(AK93="Check",AL93="Check",AM93="Check"),"Check",IF(AND(AK93="Yes",AL93="Yes",AM93="Yes"),"Include","Exclude")))</f>
        <v>Exclude</v>
      </c>
      <c r="AP93" s="10" t="s">
        <v>1820</v>
      </c>
      <c r="AQ93" s="10" t="s">
        <v>222</v>
      </c>
      <c r="AR93" s="10"/>
      <c r="AS93" s="10"/>
      <c r="AT93" s="7" t="str">
        <f aca="false">IF(AR93="","",IFERROR(INDEX(Libraries!$B:$B,MATCH(AR93,Libraries!$A:$A,0)),"ID not found"))</f>
        <v/>
      </c>
    </row>
    <row r="94" customFormat="false" ht="45.75" hidden="false" customHeight="true" outlineLevel="0" collapsed="false">
      <c r="A94" s="7" t="s">
        <v>1821</v>
      </c>
      <c r="B94" s="7" t="s">
        <v>1822</v>
      </c>
      <c r="C94" s="7" t="s">
        <v>93</v>
      </c>
      <c r="D94" s="7" t="s">
        <v>1823</v>
      </c>
      <c r="E94" s="7" t="s">
        <v>95</v>
      </c>
      <c r="F94" s="7" t="s">
        <v>215</v>
      </c>
      <c r="G94" s="7" t="s">
        <v>1824</v>
      </c>
      <c r="H94" s="7" t="s">
        <v>229</v>
      </c>
      <c r="I94" s="7" t="s">
        <v>368</v>
      </c>
      <c r="J94" s="7" t="s">
        <v>1825</v>
      </c>
      <c r="K94" s="7" t="s">
        <v>1826</v>
      </c>
      <c r="L94" s="7"/>
      <c r="M94" s="7"/>
      <c r="N94" s="7"/>
      <c r="O94" s="7"/>
      <c r="P94" s="7"/>
      <c r="Q94" s="7"/>
      <c r="R94" s="7"/>
      <c r="S94" s="7"/>
      <c r="T94" s="7"/>
      <c r="U94" s="7"/>
      <c r="V94" s="7"/>
      <c r="W94" s="7"/>
      <c r="X94" s="7"/>
      <c r="Y94" s="7"/>
      <c r="Z94" s="7"/>
      <c r="AA94" s="7"/>
      <c r="AB94" s="7"/>
      <c r="AC94" s="7"/>
      <c r="AD94" s="7"/>
      <c r="AE94" s="7"/>
      <c r="AF94" s="7"/>
      <c r="AG94" s="7"/>
      <c r="AH94" s="7"/>
      <c r="AI94" s="7"/>
      <c r="AJ94" s="7"/>
      <c r="AK94" s="10" t="s">
        <v>118</v>
      </c>
      <c r="AL94" s="10" t="s">
        <v>118</v>
      </c>
      <c r="AM94" s="10" t="s">
        <v>220</v>
      </c>
      <c r="AN94" s="10"/>
      <c r="AO94" s="7" t="str">
        <f aca="false">IF(AN94&lt;&gt;"","Exclude (duplicate)",IF(OR(AK94="Check",AL94="Check",AM94="Check"),"Check",IF(AND(AK94="Yes",AL94="Yes",AM94="Yes"),"Include","Exclude")))</f>
        <v>Exclude</v>
      </c>
      <c r="AP94" s="10" t="s">
        <v>1827</v>
      </c>
      <c r="AQ94" s="10" t="s">
        <v>222</v>
      </c>
      <c r="AR94" s="10"/>
      <c r="AS94" s="10"/>
      <c r="AT94" s="7" t="str">
        <f aca="false">IF(AR94="","",IFERROR(INDEX(Libraries!$B:$B,MATCH(AR94,Libraries!$A:$A,0)),"ID not found"))</f>
        <v/>
      </c>
    </row>
    <row r="95" customFormat="false" ht="303" hidden="false" customHeight="true" outlineLevel="0" collapsed="false">
      <c r="A95" s="12" t="s">
        <v>1828</v>
      </c>
      <c r="B95" s="12" t="s">
        <v>1829</v>
      </c>
      <c r="C95" s="12" t="s">
        <v>132</v>
      </c>
      <c r="D95" s="12" t="s">
        <v>1830</v>
      </c>
      <c r="E95" s="12" t="s">
        <v>1831</v>
      </c>
      <c r="F95" s="12" t="s">
        <v>20</v>
      </c>
      <c r="G95" s="12" t="s">
        <v>1832</v>
      </c>
      <c r="H95" s="12" t="s">
        <v>1833</v>
      </c>
      <c r="I95" s="12" t="s">
        <v>1834</v>
      </c>
      <c r="J95" s="12" t="s">
        <v>1835</v>
      </c>
      <c r="K95" s="12" t="s">
        <v>1836</v>
      </c>
      <c r="L95" s="12" t="s">
        <v>106</v>
      </c>
      <c r="M95" s="12" t="s">
        <v>1837</v>
      </c>
      <c r="N95" s="12" t="s">
        <v>472</v>
      </c>
      <c r="O95" s="12" t="s">
        <v>1838</v>
      </c>
      <c r="P95" s="12" t="s">
        <v>1839</v>
      </c>
      <c r="Q95" s="12" t="s">
        <v>106</v>
      </c>
      <c r="R95" s="12" t="s">
        <v>106</v>
      </c>
      <c r="S95" s="12" t="s">
        <v>1840</v>
      </c>
      <c r="T95" s="12" t="s">
        <v>1841</v>
      </c>
      <c r="U95" s="12" t="s">
        <v>106</v>
      </c>
      <c r="V95" s="12" t="s">
        <v>106</v>
      </c>
      <c r="W95" s="12" t="s">
        <v>106</v>
      </c>
      <c r="X95" s="12" t="s">
        <v>1842</v>
      </c>
      <c r="Y95" s="12" t="s">
        <v>106</v>
      </c>
      <c r="Z95" s="12" t="s">
        <v>106</v>
      </c>
      <c r="AA95" s="12" t="s">
        <v>1843</v>
      </c>
      <c r="AB95" s="12" t="s">
        <v>1844</v>
      </c>
      <c r="AC95" s="12" t="s">
        <v>1845</v>
      </c>
      <c r="AD95" s="12" t="s">
        <v>112</v>
      </c>
      <c r="AE95" s="12" t="s">
        <v>106</v>
      </c>
      <c r="AF95" s="12" t="s">
        <v>1846</v>
      </c>
      <c r="AG95" s="12" t="s">
        <v>1847</v>
      </c>
      <c r="AH95" s="12" t="s">
        <v>1848</v>
      </c>
      <c r="AI95" s="12" t="s">
        <v>106</v>
      </c>
      <c r="AJ95" s="12" t="s">
        <v>1849</v>
      </c>
      <c r="AK95" s="10" t="s">
        <v>118</v>
      </c>
      <c r="AL95" s="10" t="s">
        <v>118</v>
      </c>
      <c r="AM95" s="10" t="s">
        <v>118</v>
      </c>
      <c r="AN95" s="10"/>
      <c r="AO95" s="7" t="str">
        <f aca="false">IF(AN95&lt;&gt;"","Exclude (duplicate)",IF(OR(AK95="Check",AL95="Check",AM95="Check"),"Check",IF(AND(AK95="Yes",AL95="Yes",AM95="Yes"),"Include","Exclude")))</f>
        <v>Include</v>
      </c>
      <c r="AP95" s="10"/>
      <c r="AQ95" s="10" t="s">
        <v>119</v>
      </c>
      <c r="AR95" s="10" t="s">
        <v>1850</v>
      </c>
      <c r="AS95" s="10"/>
      <c r="AT95" s="7" t="str">
        <f aca="false">IF(AR95="","",IFERROR(INDEX(Libraries!$B:$B,MATCH(AR95,Libraries!$A:$A,0)),"ID not found"))</f>
        <v>Global Soil vis-NIR Spectral Library (GSSL)</v>
      </c>
    </row>
    <row r="96" customFormat="false" ht="105" hidden="false" customHeight="true" outlineLevel="0" collapsed="false">
      <c r="A96" s="12" t="s">
        <v>1851</v>
      </c>
      <c r="B96" s="12" t="s">
        <v>1852</v>
      </c>
      <c r="C96" s="12" t="s">
        <v>1853</v>
      </c>
      <c r="D96" s="12" t="s">
        <v>1854</v>
      </c>
      <c r="E96" s="12" t="s">
        <v>1855</v>
      </c>
      <c r="F96" s="12" t="s">
        <v>20</v>
      </c>
      <c r="G96" s="12" t="s">
        <v>1856</v>
      </c>
      <c r="H96" s="12" t="s">
        <v>1857</v>
      </c>
      <c r="I96" s="12" t="s">
        <v>1858</v>
      </c>
      <c r="J96" s="12" t="s">
        <v>95</v>
      </c>
      <c r="K96" s="12" t="s">
        <v>95</v>
      </c>
      <c r="L96" s="12" t="s">
        <v>106</v>
      </c>
      <c r="M96" s="12" t="s">
        <v>106</v>
      </c>
      <c r="N96" s="12" t="s">
        <v>1028</v>
      </c>
      <c r="O96" s="12" t="s">
        <v>106</v>
      </c>
      <c r="P96" s="12" t="s">
        <v>106</v>
      </c>
      <c r="Q96" s="12" t="s">
        <v>106</v>
      </c>
      <c r="R96" s="12" t="s">
        <v>106</v>
      </c>
      <c r="S96" s="12" t="s">
        <v>1859</v>
      </c>
      <c r="T96" s="12" t="s">
        <v>106</v>
      </c>
      <c r="U96" s="12" t="s">
        <v>106</v>
      </c>
      <c r="V96" s="12" t="s">
        <v>106</v>
      </c>
      <c r="W96" s="12" t="s">
        <v>106</v>
      </c>
      <c r="X96" s="12" t="s">
        <v>106</v>
      </c>
      <c r="Y96" s="12" t="s">
        <v>106</v>
      </c>
      <c r="Z96" s="12" t="s">
        <v>106</v>
      </c>
      <c r="AA96" s="12" t="s">
        <v>106</v>
      </c>
      <c r="AB96" s="12" t="s">
        <v>106</v>
      </c>
      <c r="AC96" s="12" t="s">
        <v>106</v>
      </c>
      <c r="AD96" s="12" t="s">
        <v>106</v>
      </c>
      <c r="AE96" s="12" t="s">
        <v>106</v>
      </c>
      <c r="AF96" s="12" t="s">
        <v>106</v>
      </c>
      <c r="AG96" s="12" t="s">
        <v>1860</v>
      </c>
      <c r="AH96" s="12" t="s">
        <v>1861</v>
      </c>
      <c r="AI96" s="12" t="s">
        <v>106</v>
      </c>
      <c r="AJ96" s="12" t="s">
        <v>1862</v>
      </c>
      <c r="AK96" s="10" t="s">
        <v>118</v>
      </c>
      <c r="AL96" s="10" t="s">
        <v>118</v>
      </c>
      <c r="AM96" s="10" t="s">
        <v>118</v>
      </c>
      <c r="AN96" s="10"/>
      <c r="AO96" s="7" t="str">
        <f aca="false">IF(AN96&lt;&gt;"","Exclude (duplicate)",IF(OR(AK96="Check",AL96="Check",AM96="Check"),"Check",IF(AND(AK96="Yes",AL96="Yes",AM96="Yes"),"Include","Exclude")))</f>
        <v>Include</v>
      </c>
      <c r="AP96" s="10"/>
      <c r="AQ96" s="10" t="s">
        <v>119</v>
      </c>
      <c r="AR96" s="10" t="s">
        <v>1863</v>
      </c>
      <c r="AS96" s="10"/>
      <c r="AT96" s="7" t="str">
        <f aca="false">IF(AR96="","",IFERROR(INDEX(Libraries!$B:$B,MATCH(AR96,Libraries!$A:$A,0)),"ID not found"))</f>
        <v>Global VNIR diffuse reflectance library (Brown et al.)</v>
      </c>
    </row>
    <row r="97" customFormat="false" ht="66" hidden="false" customHeight="true" outlineLevel="0" collapsed="false">
      <c r="A97" s="12" t="s">
        <v>1864</v>
      </c>
      <c r="B97" s="12" t="s">
        <v>1865</v>
      </c>
      <c r="C97" s="12" t="s">
        <v>1866</v>
      </c>
      <c r="D97" s="12" t="s">
        <v>1867</v>
      </c>
      <c r="E97" s="12" t="s">
        <v>1868</v>
      </c>
      <c r="F97" s="12" t="s">
        <v>20</v>
      </c>
      <c r="G97" s="12" t="s">
        <v>1869</v>
      </c>
      <c r="H97" s="12" t="s">
        <v>20</v>
      </c>
      <c r="I97" s="12" t="s">
        <v>1870</v>
      </c>
      <c r="J97" s="12" t="s">
        <v>95</v>
      </c>
      <c r="K97" s="12" t="s">
        <v>95</v>
      </c>
      <c r="L97" s="12" t="s">
        <v>106</v>
      </c>
      <c r="M97" s="12" t="s">
        <v>1871</v>
      </c>
      <c r="N97" s="12" t="s">
        <v>188</v>
      </c>
      <c r="O97" s="12" t="s">
        <v>1872</v>
      </c>
      <c r="P97" s="12" t="s">
        <v>106</v>
      </c>
      <c r="Q97" s="12" t="s">
        <v>106</v>
      </c>
      <c r="R97" s="12" t="s">
        <v>106</v>
      </c>
      <c r="S97" s="12" t="s">
        <v>1859</v>
      </c>
      <c r="T97" s="12" t="s">
        <v>1873</v>
      </c>
      <c r="U97" s="12" t="s">
        <v>106</v>
      </c>
      <c r="V97" s="12" t="s">
        <v>106</v>
      </c>
      <c r="W97" s="12" t="s">
        <v>106</v>
      </c>
      <c r="X97" s="12" t="s">
        <v>106</v>
      </c>
      <c r="Y97" s="12" t="s">
        <v>106</v>
      </c>
      <c r="Z97" s="12" t="s">
        <v>106</v>
      </c>
      <c r="AA97" s="12" t="s">
        <v>106</v>
      </c>
      <c r="AB97" s="12" t="s">
        <v>106</v>
      </c>
      <c r="AC97" s="12" t="s">
        <v>106</v>
      </c>
      <c r="AD97" s="12" t="s">
        <v>106</v>
      </c>
      <c r="AE97" s="12" t="s">
        <v>106</v>
      </c>
      <c r="AF97" s="12" t="s">
        <v>106</v>
      </c>
      <c r="AG97" s="12" t="s">
        <v>1874</v>
      </c>
      <c r="AH97" s="12" t="s">
        <v>106</v>
      </c>
      <c r="AI97" s="12" t="s">
        <v>106</v>
      </c>
      <c r="AJ97" s="12" t="s">
        <v>1875</v>
      </c>
      <c r="AK97" s="10" t="s">
        <v>118</v>
      </c>
      <c r="AL97" s="10" t="s">
        <v>118</v>
      </c>
      <c r="AM97" s="10" t="s">
        <v>118</v>
      </c>
      <c r="AN97" s="10"/>
      <c r="AO97" s="7" t="str">
        <f aca="false">IF(AN97&lt;&gt;"","Exclude (duplicate)",IF(OR(AK97="Check",AL97="Check",AM97="Check"),"Check",IF(AND(AK97="Yes",AL97="Yes",AM97="Yes"),"Include","Exclude")))</f>
        <v>Include</v>
      </c>
      <c r="AP97" s="10"/>
      <c r="AQ97" s="10" t="s">
        <v>119</v>
      </c>
      <c r="AR97" s="10" t="s">
        <v>1876</v>
      </c>
      <c r="AS97" s="10"/>
      <c r="AT97" s="7" t="str">
        <f aca="false">IF(AR97="","",IFERROR(INDEX(Libraries!$B:$B,MATCH(AR97,Libraries!$A:$A,0)),"ID not found"))</f>
        <v>ICRAF-ISRIC global MIR library</v>
      </c>
    </row>
    <row r="98" customFormat="false" ht="92.25" hidden="false" customHeight="true" outlineLevel="0" collapsed="false">
      <c r="A98" s="12" t="s">
        <v>1877</v>
      </c>
      <c r="B98" s="12" t="s">
        <v>1878</v>
      </c>
      <c r="C98" s="12" t="s">
        <v>537</v>
      </c>
      <c r="D98" s="12" t="s">
        <v>1879</v>
      </c>
      <c r="E98" s="12" t="s">
        <v>1880</v>
      </c>
      <c r="F98" s="12" t="s">
        <v>23</v>
      </c>
      <c r="G98" s="12" t="s">
        <v>1881</v>
      </c>
      <c r="H98" s="12" t="s">
        <v>467</v>
      </c>
      <c r="I98" s="12" t="s">
        <v>1882</v>
      </c>
      <c r="J98" s="12" t="s">
        <v>95</v>
      </c>
      <c r="K98" s="12" t="s">
        <v>95</v>
      </c>
      <c r="L98" s="12" t="s">
        <v>106</v>
      </c>
      <c r="M98" s="12" t="s">
        <v>1883</v>
      </c>
      <c r="N98" s="12" t="s">
        <v>188</v>
      </c>
      <c r="O98" s="12" t="s">
        <v>106</v>
      </c>
      <c r="P98" s="12" t="s">
        <v>106</v>
      </c>
      <c r="Q98" s="12" t="s">
        <v>106</v>
      </c>
      <c r="R98" s="12" t="s">
        <v>106</v>
      </c>
      <c r="S98" s="12" t="s">
        <v>1859</v>
      </c>
      <c r="T98" s="12" t="s">
        <v>106</v>
      </c>
      <c r="U98" s="12" t="s">
        <v>106</v>
      </c>
      <c r="V98" s="12" t="s">
        <v>106</v>
      </c>
      <c r="W98" s="12" t="s">
        <v>106</v>
      </c>
      <c r="X98" s="12" t="s">
        <v>106</v>
      </c>
      <c r="Y98" s="12" t="s">
        <v>106</v>
      </c>
      <c r="Z98" s="12" t="s">
        <v>106</v>
      </c>
      <c r="AA98" s="12" t="s">
        <v>106</v>
      </c>
      <c r="AB98" s="12" t="s">
        <v>106</v>
      </c>
      <c r="AC98" s="12" t="s">
        <v>106</v>
      </c>
      <c r="AD98" s="12" t="s">
        <v>106</v>
      </c>
      <c r="AE98" s="12" t="s">
        <v>106</v>
      </c>
      <c r="AF98" s="12" t="s">
        <v>106</v>
      </c>
      <c r="AG98" s="12" t="s">
        <v>1884</v>
      </c>
      <c r="AH98" s="12" t="s">
        <v>106</v>
      </c>
      <c r="AI98" s="12" t="s">
        <v>106</v>
      </c>
      <c r="AJ98" s="12" t="s">
        <v>1885</v>
      </c>
      <c r="AK98" s="10" t="s">
        <v>118</v>
      </c>
      <c r="AL98" s="10" t="s">
        <v>118</v>
      </c>
      <c r="AM98" s="10" t="s">
        <v>118</v>
      </c>
      <c r="AN98" s="10"/>
      <c r="AO98" s="7" t="str">
        <f aca="false">IF(AN98&lt;&gt;"","Exclude (duplicate)",IF(OR(AK98="Check",AL98="Check",AM98="Check"),"Check",IF(AND(AK98="Yes",AL98="Yes",AM98="Yes"),"Include","Exclude")))</f>
        <v>Include</v>
      </c>
      <c r="AP98" s="10"/>
      <c r="AQ98" s="10" t="s">
        <v>128</v>
      </c>
      <c r="AR98" s="10" t="s">
        <v>408</v>
      </c>
      <c r="AS98" s="10"/>
      <c r="AT98" s="7" t="str">
        <f aca="false">IF(AR98="","",IFERROR(INDEX(Libraries!$B:$B,MATCH(AR98,Libraries!$A:$A,0)),"ID not found"))</f>
        <v>USDA NSSC-KSSL MIR library</v>
      </c>
    </row>
    <row r="99" customFormat="false" ht="78.75" hidden="false" customHeight="true" outlineLevel="0" collapsed="false">
      <c r="A99" s="12" t="s">
        <v>1886</v>
      </c>
      <c r="B99" s="12" t="s">
        <v>1887</v>
      </c>
      <c r="C99" s="12" t="s">
        <v>333</v>
      </c>
      <c r="D99" s="12" t="s">
        <v>1888</v>
      </c>
      <c r="E99" s="12" t="s">
        <v>1889</v>
      </c>
      <c r="F99" s="12" t="s">
        <v>23</v>
      </c>
      <c r="G99" s="12" t="s">
        <v>882</v>
      </c>
      <c r="H99" s="12" t="s">
        <v>229</v>
      </c>
      <c r="I99" s="12" t="s">
        <v>1890</v>
      </c>
      <c r="J99" s="12" t="s">
        <v>95</v>
      </c>
      <c r="K99" s="12" t="s">
        <v>95</v>
      </c>
      <c r="L99" s="12" t="s">
        <v>106</v>
      </c>
      <c r="M99" s="12" t="s">
        <v>1891</v>
      </c>
      <c r="N99" s="12" t="s">
        <v>472</v>
      </c>
      <c r="O99" s="12" t="s">
        <v>106</v>
      </c>
      <c r="P99" s="12" t="s">
        <v>106</v>
      </c>
      <c r="Q99" s="12" t="s">
        <v>106</v>
      </c>
      <c r="R99" s="12" t="s">
        <v>106</v>
      </c>
      <c r="S99" s="12" t="s">
        <v>193</v>
      </c>
      <c r="T99" s="12" t="s">
        <v>106</v>
      </c>
      <c r="U99" s="12" t="s">
        <v>106</v>
      </c>
      <c r="V99" s="12" t="s">
        <v>106</v>
      </c>
      <c r="W99" s="12" t="s">
        <v>106</v>
      </c>
      <c r="X99" s="12" t="s">
        <v>106</v>
      </c>
      <c r="Y99" s="12" t="s">
        <v>106</v>
      </c>
      <c r="Z99" s="12" t="s">
        <v>106</v>
      </c>
      <c r="AA99" s="12" t="s">
        <v>106</v>
      </c>
      <c r="AB99" s="12" t="s">
        <v>106</v>
      </c>
      <c r="AC99" s="12" t="s">
        <v>106</v>
      </c>
      <c r="AD99" s="12" t="s">
        <v>106</v>
      </c>
      <c r="AE99" s="12" t="s">
        <v>106</v>
      </c>
      <c r="AF99" s="12" t="s">
        <v>106</v>
      </c>
      <c r="AG99" s="12" t="s">
        <v>1892</v>
      </c>
      <c r="AH99" s="12" t="s">
        <v>106</v>
      </c>
      <c r="AI99" s="12" t="s">
        <v>106</v>
      </c>
      <c r="AJ99" s="12" t="s">
        <v>1893</v>
      </c>
      <c r="AK99" s="10" t="s">
        <v>118</v>
      </c>
      <c r="AL99" s="10" t="s">
        <v>118</v>
      </c>
      <c r="AM99" s="10" t="s">
        <v>118</v>
      </c>
      <c r="AN99" s="10"/>
      <c r="AO99" s="7" t="str">
        <f aca="false">IF(AN99&lt;&gt;"","Exclude (duplicate)",IF(OR(AK99="Check",AL99="Check",AM99="Check"),"Check",IF(AND(AK99="Yes",AL99="Yes",AM99="Yes"),"Include","Exclude")))</f>
        <v>Include</v>
      </c>
      <c r="AP99" s="10"/>
      <c r="AQ99" s="10" t="s">
        <v>119</v>
      </c>
      <c r="AR99" s="10" t="s">
        <v>907</v>
      </c>
      <c r="AS99" s="10"/>
      <c r="AT99" s="7" t="str">
        <f aca="false">IF(AR99="","",IFERROR(INDEX(Libraries!$B:$B,MATCH(AR99,Libraries!$A:$A,0)),"ID not found"))</f>
        <v>Australian soil vis-NIR spectroscopic database</v>
      </c>
    </row>
    <row r="100" customFormat="false" ht="144.75" hidden="false" customHeight="true" outlineLevel="0" collapsed="false">
      <c r="A100" s="12" t="s">
        <v>1894</v>
      </c>
      <c r="B100" s="12" t="s">
        <v>1895</v>
      </c>
      <c r="C100" s="12" t="s">
        <v>1126</v>
      </c>
      <c r="D100" s="12" t="s">
        <v>1896</v>
      </c>
      <c r="E100" s="12" t="s">
        <v>1897</v>
      </c>
      <c r="F100" s="12" t="s">
        <v>23</v>
      </c>
      <c r="G100" s="12" t="s">
        <v>1898</v>
      </c>
      <c r="H100" s="12" t="s">
        <v>229</v>
      </c>
      <c r="I100" s="12" t="s">
        <v>1899</v>
      </c>
      <c r="J100" s="12" t="s">
        <v>95</v>
      </c>
      <c r="K100" s="12" t="s">
        <v>1900</v>
      </c>
      <c r="L100" s="12" t="s">
        <v>1901</v>
      </c>
      <c r="M100" s="12" t="s">
        <v>1902</v>
      </c>
      <c r="N100" s="12" t="s">
        <v>1903</v>
      </c>
      <c r="O100" s="12" t="s">
        <v>1904</v>
      </c>
      <c r="P100" s="12" t="s">
        <v>1905</v>
      </c>
      <c r="Q100" s="12" t="s">
        <v>1906</v>
      </c>
      <c r="R100" s="12" t="s">
        <v>106</v>
      </c>
      <c r="S100" s="12" t="s">
        <v>1859</v>
      </c>
      <c r="T100" s="12" t="s">
        <v>1907</v>
      </c>
      <c r="U100" s="12" t="s">
        <v>106</v>
      </c>
      <c r="V100" s="12" t="s">
        <v>1908</v>
      </c>
      <c r="W100" s="12" t="s">
        <v>106</v>
      </c>
      <c r="X100" s="12" t="s">
        <v>1909</v>
      </c>
      <c r="Y100" s="12" t="s">
        <v>1910</v>
      </c>
      <c r="Z100" s="12" t="s">
        <v>1911</v>
      </c>
      <c r="AA100" s="12" t="s">
        <v>106</v>
      </c>
      <c r="AB100" s="12" t="s">
        <v>106</v>
      </c>
      <c r="AC100" s="12" t="s">
        <v>106</v>
      </c>
      <c r="AD100" s="12" t="s">
        <v>106</v>
      </c>
      <c r="AE100" s="12" t="s">
        <v>106</v>
      </c>
      <c r="AF100" s="12" t="s">
        <v>106</v>
      </c>
      <c r="AG100" s="12" t="s">
        <v>1912</v>
      </c>
      <c r="AH100" s="12" t="s">
        <v>1913</v>
      </c>
      <c r="AI100" s="12" t="s">
        <v>106</v>
      </c>
      <c r="AJ100" s="12" t="s">
        <v>1914</v>
      </c>
      <c r="AK100" s="10" t="s">
        <v>118</v>
      </c>
      <c r="AL100" s="10" t="s">
        <v>118</v>
      </c>
      <c r="AM100" s="10" t="s">
        <v>118</v>
      </c>
      <c r="AN100" s="10"/>
      <c r="AO100" s="7" t="str">
        <f aca="false">IF(AN100&lt;&gt;"","Exclude (duplicate)",IF(OR(AK100="Check",AL100="Check",AM100="Check"),"Check",IF(AND(AK100="Yes",AL100="Yes",AM100="Yes"),"Include","Exclude")))</f>
        <v>Include</v>
      </c>
      <c r="AP100" s="10"/>
      <c r="AQ100" s="10" t="s">
        <v>119</v>
      </c>
      <c r="AR100" s="10" t="s">
        <v>1915</v>
      </c>
      <c r="AS100" s="10"/>
      <c r="AT100" s="7" t="str">
        <f aca="false">IF(AR100="","",IFERROR(INDEX(Libraries!$B:$B,MATCH(AR100,Libraries!$A:$A,0)),"ID not found"))</f>
        <v>Soil Carbon Research Program (SCaRP) MIR library</v>
      </c>
    </row>
    <row r="101" customFormat="false" ht="132" hidden="false" customHeight="true" outlineLevel="0" collapsed="false">
      <c r="A101" s="12" t="s">
        <v>1916</v>
      </c>
      <c r="B101" s="12" t="s">
        <v>1917</v>
      </c>
      <c r="C101" s="12" t="s">
        <v>333</v>
      </c>
      <c r="D101" s="12" t="s">
        <v>1918</v>
      </c>
      <c r="E101" s="12" t="s">
        <v>1919</v>
      </c>
      <c r="F101" s="12" t="s">
        <v>23</v>
      </c>
      <c r="G101" s="12" t="s">
        <v>1129</v>
      </c>
      <c r="H101" s="12" t="s">
        <v>135</v>
      </c>
      <c r="I101" s="12" t="s">
        <v>1130</v>
      </c>
      <c r="J101" s="12" t="s">
        <v>95</v>
      </c>
      <c r="K101" s="12" t="s">
        <v>95</v>
      </c>
      <c r="L101" s="12" t="s">
        <v>106</v>
      </c>
      <c r="M101" s="12" t="s">
        <v>1920</v>
      </c>
      <c r="N101" s="12" t="s">
        <v>472</v>
      </c>
      <c r="O101" s="12" t="s">
        <v>158</v>
      </c>
      <c r="P101" s="12" t="s">
        <v>1921</v>
      </c>
      <c r="Q101" s="12" t="s">
        <v>106</v>
      </c>
      <c r="R101" s="12" t="s">
        <v>1922</v>
      </c>
      <c r="S101" s="12" t="s">
        <v>1923</v>
      </c>
      <c r="T101" s="12" t="s">
        <v>1924</v>
      </c>
      <c r="U101" s="12" t="s">
        <v>106</v>
      </c>
      <c r="V101" s="12" t="s">
        <v>106</v>
      </c>
      <c r="W101" s="12" t="s">
        <v>106</v>
      </c>
      <c r="X101" s="12" t="s">
        <v>1925</v>
      </c>
      <c r="Y101" s="12" t="s">
        <v>1926</v>
      </c>
      <c r="Z101" s="12" t="s">
        <v>1927</v>
      </c>
      <c r="AA101" s="12" t="s">
        <v>106</v>
      </c>
      <c r="AB101" s="12" t="s">
        <v>106</v>
      </c>
      <c r="AC101" s="12" t="s">
        <v>106</v>
      </c>
      <c r="AD101" s="12" t="s">
        <v>106</v>
      </c>
      <c r="AE101" s="12" t="s">
        <v>106</v>
      </c>
      <c r="AF101" s="12" t="s">
        <v>106</v>
      </c>
      <c r="AG101" s="12" t="s">
        <v>1928</v>
      </c>
      <c r="AH101" s="12" t="s">
        <v>1929</v>
      </c>
      <c r="AI101" s="12" t="s">
        <v>106</v>
      </c>
      <c r="AJ101" s="12" t="s">
        <v>1930</v>
      </c>
      <c r="AK101" s="10" t="s">
        <v>118</v>
      </c>
      <c r="AL101" s="10" t="s">
        <v>118</v>
      </c>
      <c r="AM101" s="10" t="s">
        <v>118</v>
      </c>
      <c r="AN101" s="10"/>
      <c r="AO101" s="7" t="str">
        <f aca="false">IF(AN101&lt;&gt;"","Exclude (duplicate)",IF(OR(AK101="Check",AL101="Check",AM101="Check"),"Check",IF(AND(AK101="Yes",AL101="Yes",AM101="Yes"),"Include","Exclude")))</f>
        <v>Include</v>
      </c>
      <c r="AP101" s="10"/>
      <c r="AQ101" s="10" t="s">
        <v>119</v>
      </c>
      <c r="AR101" s="10" t="s">
        <v>1147</v>
      </c>
      <c r="AS101" s="10"/>
      <c r="AT101" s="7" t="str">
        <f aca="false">IF(AR101="","",IFERROR(INDEX(Libraries!$B:$B,MATCH(AR101,Libraries!$A:$A,0)),"ID not found"))</f>
        <v>Danish national vis-NIR library</v>
      </c>
    </row>
    <row r="102" customFormat="false" ht="78.75" hidden="false" customHeight="true" outlineLevel="0" collapsed="false">
      <c r="A102" s="12" t="s">
        <v>1931</v>
      </c>
      <c r="B102" s="12" t="s">
        <v>1932</v>
      </c>
      <c r="C102" s="12" t="s">
        <v>560</v>
      </c>
      <c r="D102" s="12" t="s">
        <v>1933</v>
      </c>
      <c r="E102" s="12" t="s">
        <v>1934</v>
      </c>
      <c r="F102" s="12" t="s">
        <v>1935</v>
      </c>
      <c r="G102" s="12" t="s">
        <v>134</v>
      </c>
      <c r="H102" s="12" t="s">
        <v>135</v>
      </c>
      <c r="I102" s="12" t="s">
        <v>95</v>
      </c>
      <c r="J102" s="12" t="s">
        <v>95</v>
      </c>
      <c r="K102" s="12" t="s">
        <v>95</v>
      </c>
      <c r="L102" s="12" t="s">
        <v>106</v>
      </c>
      <c r="M102" s="12" t="s">
        <v>106</v>
      </c>
      <c r="N102" s="12" t="s">
        <v>472</v>
      </c>
      <c r="O102" s="12" t="s">
        <v>106</v>
      </c>
      <c r="P102" s="12" t="s">
        <v>106</v>
      </c>
      <c r="Q102" s="12" t="s">
        <v>106</v>
      </c>
      <c r="R102" s="12" t="s">
        <v>106</v>
      </c>
      <c r="S102" s="12" t="s">
        <v>106</v>
      </c>
      <c r="T102" s="12" t="s">
        <v>106</v>
      </c>
      <c r="U102" s="12" t="s">
        <v>106</v>
      </c>
      <c r="V102" s="12" t="s">
        <v>106</v>
      </c>
      <c r="W102" s="12" t="s">
        <v>106</v>
      </c>
      <c r="X102" s="12" t="s">
        <v>1936</v>
      </c>
      <c r="Y102" s="12" t="s">
        <v>106</v>
      </c>
      <c r="Z102" s="12" t="s">
        <v>106</v>
      </c>
      <c r="AA102" s="12" t="s">
        <v>106</v>
      </c>
      <c r="AB102" s="12" t="s">
        <v>106</v>
      </c>
      <c r="AC102" s="12" t="s">
        <v>106</v>
      </c>
      <c r="AD102" s="12" t="s">
        <v>106</v>
      </c>
      <c r="AE102" s="12" t="s">
        <v>106</v>
      </c>
      <c r="AF102" s="12" t="s">
        <v>1937</v>
      </c>
      <c r="AG102" s="12" t="s">
        <v>1938</v>
      </c>
      <c r="AH102" s="12" t="s">
        <v>106</v>
      </c>
      <c r="AI102" s="12" t="s">
        <v>106</v>
      </c>
      <c r="AJ102" s="12" t="s">
        <v>1939</v>
      </c>
      <c r="AK102" s="10" t="s">
        <v>118</v>
      </c>
      <c r="AL102" s="10" t="s">
        <v>118</v>
      </c>
      <c r="AM102" s="10" t="s">
        <v>118</v>
      </c>
      <c r="AN102" s="10"/>
      <c r="AO102" s="7" t="str">
        <f aca="false">IF(AN102&lt;&gt;"","Exclude (duplicate)",IF(OR(AK102="Check",AL102="Check",AM102="Check"),"Check",IF(AND(AK102="Yes",AL102="Yes",AM102="Yes"),"Include","Exclude")))</f>
        <v>Include</v>
      </c>
      <c r="AP102" s="10"/>
      <c r="AQ102" s="10" t="s">
        <v>128</v>
      </c>
      <c r="AR102" s="10" t="s">
        <v>1940</v>
      </c>
      <c r="AS102" s="10"/>
      <c r="AT102" s="7" t="str">
        <f aca="false">IF(AR102="","",IFERROR(INDEX(Libraries!$B:$B,MATCH(AR102,Libraries!$A:$A,0)),"ID not found"))</f>
        <v>French RMQS vis-NIR national database</v>
      </c>
    </row>
    <row r="103" customFormat="false" ht="66" hidden="false" customHeight="true" outlineLevel="0" collapsed="false">
      <c r="A103" s="12" t="s">
        <v>1941</v>
      </c>
      <c r="B103" s="12" t="s">
        <v>1942</v>
      </c>
      <c r="C103" s="12" t="s">
        <v>458</v>
      </c>
      <c r="D103" s="12" t="s">
        <v>1943</v>
      </c>
      <c r="E103" s="12" t="s">
        <v>1944</v>
      </c>
      <c r="F103" s="12" t="s">
        <v>23</v>
      </c>
      <c r="G103" s="12" t="s">
        <v>460</v>
      </c>
      <c r="H103" s="12" t="s">
        <v>135</v>
      </c>
      <c r="I103" s="12" t="s">
        <v>95</v>
      </c>
      <c r="J103" s="12" t="s">
        <v>95</v>
      </c>
      <c r="K103" s="12" t="s">
        <v>1062</v>
      </c>
      <c r="L103" s="12" t="s">
        <v>106</v>
      </c>
      <c r="M103" s="12" t="s">
        <v>106</v>
      </c>
      <c r="N103" s="12" t="s">
        <v>106</v>
      </c>
      <c r="O103" s="12" t="s">
        <v>106</v>
      </c>
      <c r="P103" s="12" t="s">
        <v>106</v>
      </c>
      <c r="Q103" s="12" t="s">
        <v>106</v>
      </c>
      <c r="R103" s="12" t="s">
        <v>106</v>
      </c>
      <c r="S103" s="12" t="s">
        <v>106</v>
      </c>
      <c r="T103" s="12" t="s">
        <v>1945</v>
      </c>
      <c r="U103" s="12" t="s">
        <v>106</v>
      </c>
      <c r="V103" s="12" t="s">
        <v>106</v>
      </c>
      <c r="W103" s="12" t="s">
        <v>106</v>
      </c>
      <c r="X103" s="12" t="s">
        <v>106</v>
      </c>
      <c r="Y103" s="12" t="s">
        <v>106</v>
      </c>
      <c r="Z103" s="12" t="s">
        <v>106</v>
      </c>
      <c r="AA103" s="12" t="s">
        <v>106</v>
      </c>
      <c r="AB103" s="12" t="s">
        <v>106</v>
      </c>
      <c r="AC103" s="12" t="s">
        <v>106</v>
      </c>
      <c r="AD103" s="12" t="s">
        <v>106</v>
      </c>
      <c r="AE103" s="12" t="s">
        <v>106</v>
      </c>
      <c r="AF103" s="12" t="s">
        <v>106</v>
      </c>
      <c r="AG103" s="12" t="s">
        <v>1946</v>
      </c>
      <c r="AH103" s="12" t="s">
        <v>106</v>
      </c>
      <c r="AI103" s="12" t="s">
        <v>106</v>
      </c>
      <c r="AJ103" s="12" t="s">
        <v>1947</v>
      </c>
      <c r="AK103" s="10" t="s">
        <v>118</v>
      </c>
      <c r="AL103" s="10" t="s">
        <v>118</v>
      </c>
      <c r="AM103" s="10" t="s">
        <v>118</v>
      </c>
      <c r="AN103" s="10"/>
      <c r="AO103" s="7" t="str">
        <f aca="false">IF(AN103&lt;&gt;"","Exclude (duplicate)",IF(OR(AK103="Check",AL103="Check",AM103="Check"),"Check",IF(AND(AK103="Yes",AL103="Yes",AM103="Yes"),"Include","Exclude")))</f>
        <v>Include</v>
      </c>
      <c r="AP103" s="10"/>
      <c r="AQ103" s="10" t="s">
        <v>119</v>
      </c>
      <c r="AR103" s="10" t="s">
        <v>1948</v>
      </c>
      <c r="AS103" s="10"/>
      <c r="AT103" s="7" t="str">
        <f aca="false">IF(AR103="","",IFERROR(INDEX(Libraries!$B:$B,MATCH(AR103,Libraries!$A:$A,0)),"ID not found"))</f>
        <v>Czech national forest soil spectral dataset</v>
      </c>
    </row>
    <row r="104" customFormat="false" ht="66" hidden="false" customHeight="true" outlineLevel="0" collapsed="false">
      <c r="A104" s="12" t="s">
        <v>1949</v>
      </c>
      <c r="B104" s="12" t="s">
        <v>1950</v>
      </c>
      <c r="C104" s="12" t="s">
        <v>616</v>
      </c>
      <c r="D104" s="12" t="s">
        <v>1951</v>
      </c>
      <c r="E104" s="12" t="s">
        <v>1952</v>
      </c>
      <c r="F104" s="12" t="s">
        <v>1953</v>
      </c>
      <c r="G104" s="12" t="s">
        <v>1954</v>
      </c>
      <c r="H104" s="12" t="s">
        <v>1955</v>
      </c>
      <c r="I104" s="12" t="s">
        <v>95</v>
      </c>
      <c r="J104" s="12" t="s">
        <v>95</v>
      </c>
      <c r="K104" s="12" t="s">
        <v>95</v>
      </c>
      <c r="L104" s="12" t="s">
        <v>106</v>
      </c>
      <c r="M104" s="12" t="s">
        <v>106</v>
      </c>
      <c r="N104" s="12" t="s">
        <v>188</v>
      </c>
      <c r="O104" s="12" t="s">
        <v>106</v>
      </c>
      <c r="P104" s="12" t="s">
        <v>106</v>
      </c>
      <c r="Q104" s="12" t="s">
        <v>106</v>
      </c>
      <c r="R104" s="12" t="s">
        <v>106</v>
      </c>
      <c r="S104" s="12" t="s">
        <v>106</v>
      </c>
      <c r="T104" s="12" t="s">
        <v>1956</v>
      </c>
      <c r="U104" s="12" t="s">
        <v>106</v>
      </c>
      <c r="V104" s="12" t="s">
        <v>106</v>
      </c>
      <c r="W104" s="12" t="s">
        <v>106</v>
      </c>
      <c r="X104" s="12" t="s">
        <v>106</v>
      </c>
      <c r="Y104" s="12" t="s">
        <v>106</v>
      </c>
      <c r="Z104" s="12" t="s">
        <v>106</v>
      </c>
      <c r="AA104" s="12" t="s">
        <v>106</v>
      </c>
      <c r="AB104" s="12" t="s">
        <v>106</v>
      </c>
      <c r="AC104" s="12" t="s">
        <v>106</v>
      </c>
      <c r="AD104" s="12" t="s">
        <v>106</v>
      </c>
      <c r="AE104" s="12" t="s">
        <v>106</v>
      </c>
      <c r="AF104" s="12" t="s">
        <v>1957</v>
      </c>
      <c r="AG104" s="12" t="s">
        <v>1958</v>
      </c>
      <c r="AH104" s="12" t="s">
        <v>106</v>
      </c>
      <c r="AI104" s="12" t="s">
        <v>106</v>
      </c>
      <c r="AJ104" s="12" t="s">
        <v>1959</v>
      </c>
      <c r="AK104" s="10" t="s">
        <v>118</v>
      </c>
      <c r="AL104" s="10" t="s">
        <v>118</v>
      </c>
      <c r="AM104" s="10" t="s">
        <v>118</v>
      </c>
      <c r="AN104" s="10"/>
      <c r="AO104" s="7" t="str">
        <f aca="false">IF(AN104&lt;&gt;"","Exclude (duplicate)",IF(OR(AK104="Check",AL104="Check",AM104="Check"),"Check",IF(AND(AK104="Yes",AL104="Yes",AM104="Yes"),"Include","Exclude")))</f>
        <v>Include</v>
      </c>
      <c r="AP104" s="10" t="s">
        <v>1960</v>
      </c>
      <c r="AQ104" s="10" t="s">
        <v>128</v>
      </c>
      <c r="AR104" s="10" t="s">
        <v>136</v>
      </c>
      <c r="AS104" s="10"/>
      <c r="AT104" s="7" t="str">
        <f aca="false">IF(AR104="","",IFERROR(INDEX(Libraries!$B:$B,MATCH(AR104,Libraries!$A:$A,0)),"ID not found"))</f>
        <v>French RMQS NIR/MIR national library</v>
      </c>
    </row>
    <row r="105" customFormat="false" ht="66" hidden="false" customHeight="true" outlineLevel="0" collapsed="false">
      <c r="A105" s="12" t="s">
        <v>1961</v>
      </c>
      <c r="B105" s="12" t="s">
        <v>1962</v>
      </c>
      <c r="C105" s="12" t="s">
        <v>139</v>
      </c>
      <c r="D105" s="12" t="s">
        <v>1963</v>
      </c>
      <c r="E105" s="12" t="s">
        <v>1964</v>
      </c>
      <c r="F105" s="12" t="s">
        <v>1965</v>
      </c>
      <c r="G105" s="12" t="s">
        <v>1966</v>
      </c>
      <c r="H105" s="12" t="s">
        <v>1967</v>
      </c>
      <c r="I105" s="12" t="s">
        <v>95</v>
      </c>
      <c r="J105" s="12" t="s">
        <v>95</v>
      </c>
      <c r="K105" s="12" t="s">
        <v>95</v>
      </c>
      <c r="L105" s="12" t="s">
        <v>106</v>
      </c>
      <c r="M105" s="12" t="s">
        <v>106</v>
      </c>
      <c r="N105" s="12" t="s">
        <v>106</v>
      </c>
      <c r="O105" s="12" t="s">
        <v>106</v>
      </c>
      <c r="P105" s="12" t="s">
        <v>106</v>
      </c>
      <c r="Q105" s="12" t="s">
        <v>106</v>
      </c>
      <c r="R105" s="12" t="s">
        <v>106</v>
      </c>
      <c r="S105" s="12" t="s">
        <v>106</v>
      </c>
      <c r="T105" s="12" t="s">
        <v>1945</v>
      </c>
      <c r="U105" s="12" t="s">
        <v>106</v>
      </c>
      <c r="V105" s="12" t="s">
        <v>106</v>
      </c>
      <c r="W105" s="12" t="s">
        <v>106</v>
      </c>
      <c r="X105" s="12" t="s">
        <v>1968</v>
      </c>
      <c r="Y105" s="12" t="s">
        <v>106</v>
      </c>
      <c r="Z105" s="12" t="s">
        <v>106</v>
      </c>
      <c r="AA105" s="12" t="s">
        <v>106</v>
      </c>
      <c r="AB105" s="12" t="s">
        <v>106</v>
      </c>
      <c r="AC105" s="12" t="s">
        <v>106</v>
      </c>
      <c r="AD105" s="12" t="s">
        <v>106</v>
      </c>
      <c r="AE105" s="12" t="s">
        <v>106</v>
      </c>
      <c r="AF105" s="12" t="s">
        <v>106</v>
      </c>
      <c r="AG105" s="12" t="s">
        <v>1969</v>
      </c>
      <c r="AH105" s="12" t="s">
        <v>106</v>
      </c>
      <c r="AI105" s="12" t="s">
        <v>106</v>
      </c>
      <c r="AJ105" s="12" t="s">
        <v>1970</v>
      </c>
      <c r="AK105" s="10" t="s">
        <v>118</v>
      </c>
      <c r="AL105" s="10" t="s">
        <v>118</v>
      </c>
      <c r="AM105" s="10" t="s">
        <v>1971</v>
      </c>
      <c r="AN105" s="10"/>
      <c r="AO105" s="7" t="str">
        <f aca="false">IF(AN105&lt;&gt;"","Exclude (duplicate)",IF(OR(AK105="Check",AL105="Check",AM105="Check"),"Check",IF(AND(AK105="Yes",AL105="Yes",AM105="Yes"),"Include","Exclude")))</f>
        <v>Check</v>
      </c>
      <c r="AP105" s="10" t="s">
        <v>1972</v>
      </c>
      <c r="AQ105" s="10" t="s">
        <v>329</v>
      </c>
      <c r="AR105" s="10"/>
      <c r="AS105" s="10"/>
      <c r="AT105" s="7" t="str">
        <f aca="false">IF(AR105="","",IFERROR(INDEX(Libraries!$B:$B,MATCH(AR105,Libraries!$A:$A,0)),"ID not found"))</f>
        <v/>
      </c>
    </row>
    <row r="106" customFormat="false" ht="66" hidden="false" customHeight="true" outlineLevel="0" collapsed="false">
      <c r="A106" s="12" t="s">
        <v>1973</v>
      </c>
      <c r="B106" s="12" t="s">
        <v>1974</v>
      </c>
      <c r="C106" s="12" t="s">
        <v>537</v>
      </c>
      <c r="D106" s="12" t="s">
        <v>1975</v>
      </c>
      <c r="E106" s="12" t="s">
        <v>1976</v>
      </c>
      <c r="F106" s="12" t="s">
        <v>181</v>
      </c>
      <c r="G106" s="12" t="s">
        <v>1977</v>
      </c>
      <c r="H106" s="12" t="s">
        <v>135</v>
      </c>
      <c r="I106" s="12" t="s">
        <v>95</v>
      </c>
      <c r="J106" s="12" t="s">
        <v>95</v>
      </c>
      <c r="K106" s="12" t="s">
        <v>95</v>
      </c>
      <c r="L106" s="12" t="s">
        <v>106</v>
      </c>
      <c r="M106" s="12" t="s">
        <v>106</v>
      </c>
      <c r="N106" s="12" t="s">
        <v>106</v>
      </c>
      <c r="O106" s="12" t="s">
        <v>106</v>
      </c>
      <c r="P106" s="12" t="s">
        <v>106</v>
      </c>
      <c r="Q106" s="12" t="s">
        <v>106</v>
      </c>
      <c r="R106" s="12" t="s">
        <v>106</v>
      </c>
      <c r="S106" s="12" t="s">
        <v>106</v>
      </c>
      <c r="T106" s="12" t="s">
        <v>106</v>
      </c>
      <c r="U106" s="12" t="s">
        <v>106</v>
      </c>
      <c r="V106" s="12" t="s">
        <v>106</v>
      </c>
      <c r="W106" s="12" t="s">
        <v>106</v>
      </c>
      <c r="X106" s="12" t="s">
        <v>1978</v>
      </c>
      <c r="Y106" s="12" t="s">
        <v>106</v>
      </c>
      <c r="Z106" s="12" t="s">
        <v>106</v>
      </c>
      <c r="AA106" s="12" t="s">
        <v>106</v>
      </c>
      <c r="AB106" s="12" t="s">
        <v>106</v>
      </c>
      <c r="AC106" s="12" t="s">
        <v>106</v>
      </c>
      <c r="AD106" s="12" t="s">
        <v>106</v>
      </c>
      <c r="AE106" s="12" t="s">
        <v>106</v>
      </c>
      <c r="AF106" s="12" t="s">
        <v>106</v>
      </c>
      <c r="AG106" s="12" t="s">
        <v>1979</v>
      </c>
      <c r="AH106" s="12" t="s">
        <v>106</v>
      </c>
      <c r="AI106" s="12" t="s">
        <v>106</v>
      </c>
      <c r="AJ106" s="12" t="s">
        <v>1980</v>
      </c>
      <c r="AK106" s="10" t="s">
        <v>118</v>
      </c>
      <c r="AL106" s="10" t="s">
        <v>118</v>
      </c>
      <c r="AM106" s="10" t="s">
        <v>118</v>
      </c>
      <c r="AN106" s="10"/>
      <c r="AO106" s="7" t="str">
        <f aca="false">IF(AN106&lt;&gt;"","Exclude (duplicate)",IF(OR(AK106="Check",AL106="Check",AM106="Check"),"Check",IF(AND(AK106="Yes",AL106="Yes",AM106="Yes"),"Include","Exclude")))</f>
        <v>Include</v>
      </c>
      <c r="AP106" s="10"/>
      <c r="AQ106" s="10" t="s">
        <v>128</v>
      </c>
      <c r="AR106" s="10" t="s">
        <v>409</v>
      </c>
      <c r="AS106" s="10"/>
      <c r="AT106" s="7" t="str">
        <f aca="false">IF(AR106="","",IFERROR(INDEX(Libraries!$B:$B,MATCH(AR106,Libraries!$A:$A,0)),"ID not found"))</f>
        <v>LUCAS topsoil vis-NIR library</v>
      </c>
    </row>
    <row r="107" customFormat="false" ht="52.5" hidden="false" customHeight="true" outlineLevel="0" collapsed="false">
      <c r="A107" s="12" t="s">
        <v>1981</v>
      </c>
      <c r="B107" s="12" t="s">
        <v>1982</v>
      </c>
      <c r="C107" s="12" t="s">
        <v>989</v>
      </c>
      <c r="D107" s="12" t="s">
        <v>1983</v>
      </c>
      <c r="E107" s="12" t="s">
        <v>1984</v>
      </c>
      <c r="F107" s="12" t="s">
        <v>152</v>
      </c>
      <c r="G107" s="12" t="s">
        <v>1985</v>
      </c>
      <c r="H107" s="12" t="s">
        <v>467</v>
      </c>
      <c r="I107" s="12" t="s">
        <v>95</v>
      </c>
      <c r="J107" s="12" t="s">
        <v>95</v>
      </c>
      <c r="K107" s="12" t="s">
        <v>1986</v>
      </c>
      <c r="L107" s="12" t="s">
        <v>106</v>
      </c>
      <c r="M107" s="12" t="s">
        <v>106</v>
      </c>
      <c r="N107" s="12" t="s">
        <v>1987</v>
      </c>
      <c r="O107" s="12" t="s">
        <v>106</v>
      </c>
      <c r="P107" s="12" t="s">
        <v>106</v>
      </c>
      <c r="Q107" s="12" t="s">
        <v>106</v>
      </c>
      <c r="R107" s="12" t="s">
        <v>106</v>
      </c>
      <c r="S107" s="12" t="s">
        <v>1988</v>
      </c>
      <c r="T107" s="12" t="s">
        <v>1989</v>
      </c>
      <c r="U107" s="12" t="s">
        <v>106</v>
      </c>
      <c r="V107" s="12" t="s">
        <v>106</v>
      </c>
      <c r="W107" s="12" t="s">
        <v>106</v>
      </c>
      <c r="X107" s="12" t="s">
        <v>106</v>
      </c>
      <c r="Y107" s="12" t="s">
        <v>106</v>
      </c>
      <c r="Z107" s="12" t="s">
        <v>106</v>
      </c>
      <c r="AA107" s="12" t="s">
        <v>106</v>
      </c>
      <c r="AB107" s="12" t="s">
        <v>106</v>
      </c>
      <c r="AC107" s="12" t="s">
        <v>106</v>
      </c>
      <c r="AD107" s="12" t="s">
        <v>106</v>
      </c>
      <c r="AE107" s="12" t="s">
        <v>106</v>
      </c>
      <c r="AF107" s="12" t="s">
        <v>106</v>
      </c>
      <c r="AG107" s="12" t="s">
        <v>1990</v>
      </c>
      <c r="AH107" s="12" t="s">
        <v>106</v>
      </c>
      <c r="AI107" s="12" t="s">
        <v>106</v>
      </c>
      <c r="AJ107" s="12" t="s">
        <v>1991</v>
      </c>
      <c r="AK107" s="10" t="s">
        <v>118</v>
      </c>
      <c r="AL107" s="10" t="s">
        <v>118</v>
      </c>
      <c r="AM107" s="10" t="s">
        <v>220</v>
      </c>
      <c r="AN107" s="10"/>
      <c r="AO107" s="7" t="str">
        <f aca="false">IF(AN107&lt;&gt;"","Exclude (duplicate)",IF(OR(AK107="Check",AL107="Check",AM107="Check"),"Check",IF(AND(AK107="Yes",AL107="Yes",AM107="Yes"),"Include","Exclude")))</f>
        <v>Exclude</v>
      </c>
      <c r="AP107" s="10" t="s">
        <v>1992</v>
      </c>
      <c r="AQ107" s="10" t="s">
        <v>222</v>
      </c>
      <c r="AR107" s="10"/>
      <c r="AS107" s="10"/>
      <c r="AT107" s="7" t="str">
        <f aca="false">IF(AR107="","",IFERROR(INDEX(Libraries!$B:$B,MATCH(AR107,Libraries!$A:$A,0)),"ID not found"))</f>
        <v/>
      </c>
    </row>
    <row r="108" customFormat="false" ht="158.25" hidden="false" customHeight="true" outlineLevel="0" collapsed="false">
      <c r="A108" s="12" t="s">
        <v>1993</v>
      </c>
      <c r="B108" s="12" t="s">
        <v>1994</v>
      </c>
      <c r="C108" s="12" t="s">
        <v>123</v>
      </c>
      <c r="D108" s="12" t="s">
        <v>1995</v>
      </c>
      <c r="E108" s="12" t="s">
        <v>1996</v>
      </c>
      <c r="F108" s="12" t="s">
        <v>23</v>
      </c>
      <c r="G108" s="12" t="s">
        <v>1997</v>
      </c>
      <c r="H108" s="12" t="s">
        <v>126</v>
      </c>
      <c r="I108" s="12" t="s">
        <v>95</v>
      </c>
      <c r="J108" s="12" t="s">
        <v>95</v>
      </c>
      <c r="K108" s="12" t="s">
        <v>155</v>
      </c>
      <c r="L108" s="12" t="s">
        <v>106</v>
      </c>
      <c r="M108" s="12" t="s">
        <v>1998</v>
      </c>
      <c r="N108" s="12" t="s">
        <v>1999</v>
      </c>
      <c r="O108" s="12" t="s">
        <v>106</v>
      </c>
      <c r="P108" s="12" t="s">
        <v>2000</v>
      </c>
      <c r="Q108" s="12" t="s">
        <v>106</v>
      </c>
      <c r="R108" s="12" t="s">
        <v>2001</v>
      </c>
      <c r="S108" s="12" t="s">
        <v>193</v>
      </c>
      <c r="T108" s="12" t="s">
        <v>2002</v>
      </c>
      <c r="U108" s="12" t="s">
        <v>106</v>
      </c>
      <c r="V108" s="12" t="s">
        <v>2003</v>
      </c>
      <c r="W108" s="12" t="s">
        <v>106</v>
      </c>
      <c r="X108" s="12" t="s">
        <v>2004</v>
      </c>
      <c r="Y108" s="12" t="s">
        <v>2005</v>
      </c>
      <c r="Z108" s="12" t="s">
        <v>2006</v>
      </c>
      <c r="AA108" s="12" t="s">
        <v>106</v>
      </c>
      <c r="AB108" s="12" t="s">
        <v>106</v>
      </c>
      <c r="AC108" s="12" t="s">
        <v>2007</v>
      </c>
      <c r="AD108" s="12" t="s">
        <v>112</v>
      </c>
      <c r="AE108" s="12" t="s">
        <v>106</v>
      </c>
      <c r="AF108" s="12" t="s">
        <v>106</v>
      </c>
      <c r="AG108" s="12" t="s">
        <v>2008</v>
      </c>
      <c r="AH108" s="12" t="s">
        <v>2009</v>
      </c>
      <c r="AI108" s="12" t="s">
        <v>2010</v>
      </c>
      <c r="AJ108" s="12" t="s">
        <v>2011</v>
      </c>
      <c r="AK108" s="10" t="s">
        <v>118</v>
      </c>
      <c r="AL108" s="10" t="s">
        <v>118</v>
      </c>
      <c r="AM108" s="10" t="s">
        <v>118</v>
      </c>
      <c r="AN108" s="10"/>
      <c r="AO108" s="7" t="str">
        <f aca="false">IF(AN108&lt;&gt;"","Exclude (duplicate)",IF(OR(AK108="Check",AL108="Check",AM108="Check"),"Check",IF(AND(AK108="Yes",AL108="Yes",AM108="Yes"),"Include","Exclude")))</f>
        <v>Include</v>
      </c>
      <c r="AP108" s="10"/>
      <c r="AQ108" s="10" t="s">
        <v>119</v>
      </c>
      <c r="AR108" s="10" t="s">
        <v>2012</v>
      </c>
      <c r="AS108" s="10"/>
      <c r="AT108" s="7" t="str">
        <f aca="false">IF(AR108="","",IFERROR(INDEX(Libraries!$B:$B,MATCH(AR108,Libraries!$A:$A,0)),"ID not found"))</f>
        <v>Japanese soil FTIR dataset (4 prefectures)</v>
      </c>
    </row>
    <row r="109" customFormat="false" ht="158.25" hidden="false" customHeight="true" outlineLevel="0" collapsed="false">
      <c r="A109" s="12" t="s">
        <v>2013</v>
      </c>
      <c r="B109" s="12" t="s">
        <v>2014</v>
      </c>
      <c r="C109" s="12" t="s">
        <v>537</v>
      </c>
      <c r="D109" s="12" t="s">
        <v>2015</v>
      </c>
      <c r="E109" s="12" t="s">
        <v>2016</v>
      </c>
      <c r="F109" s="12" t="s">
        <v>2017</v>
      </c>
      <c r="G109" s="12" t="s">
        <v>2018</v>
      </c>
      <c r="H109" s="12" t="s">
        <v>135</v>
      </c>
      <c r="I109" s="12" t="s">
        <v>95</v>
      </c>
      <c r="J109" s="12" t="s">
        <v>95</v>
      </c>
      <c r="K109" s="12" t="s">
        <v>2019</v>
      </c>
      <c r="L109" s="12" t="s">
        <v>106</v>
      </c>
      <c r="M109" s="12" t="s">
        <v>106</v>
      </c>
      <c r="N109" s="12" t="s">
        <v>472</v>
      </c>
      <c r="O109" s="12" t="s">
        <v>106</v>
      </c>
      <c r="P109" s="12" t="s">
        <v>106</v>
      </c>
      <c r="Q109" s="12" t="s">
        <v>106</v>
      </c>
      <c r="R109" s="12" t="s">
        <v>106</v>
      </c>
      <c r="S109" s="12" t="s">
        <v>106</v>
      </c>
      <c r="T109" s="12" t="s">
        <v>2020</v>
      </c>
      <c r="U109" s="12" t="s">
        <v>106</v>
      </c>
      <c r="V109" s="12" t="s">
        <v>2021</v>
      </c>
      <c r="W109" s="12" t="s">
        <v>106</v>
      </c>
      <c r="X109" s="12" t="s">
        <v>2022</v>
      </c>
      <c r="Y109" s="12" t="s">
        <v>2023</v>
      </c>
      <c r="Z109" s="12" t="s">
        <v>2024</v>
      </c>
      <c r="AA109" s="12" t="s">
        <v>106</v>
      </c>
      <c r="AB109" s="12" t="s">
        <v>106</v>
      </c>
      <c r="AC109" s="12" t="s">
        <v>106</v>
      </c>
      <c r="AD109" s="12" t="s">
        <v>106</v>
      </c>
      <c r="AE109" s="12" t="s">
        <v>106</v>
      </c>
      <c r="AF109" s="12" t="s">
        <v>106</v>
      </c>
      <c r="AG109" s="12" t="s">
        <v>2025</v>
      </c>
      <c r="AH109" s="12" t="s">
        <v>2026</v>
      </c>
      <c r="AI109" s="12" t="s">
        <v>106</v>
      </c>
      <c r="AJ109" s="12" t="s">
        <v>2027</v>
      </c>
      <c r="AK109" s="10" t="s">
        <v>118</v>
      </c>
      <c r="AL109" s="10" t="s">
        <v>118</v>
      </c>
      <c r="AM109" s="10" t="s">
        <v>118</v>
      </c>
      <c r="AN109" s="10"/>
      <c r="AO109" s="7" t="str">
        <f aca="false">IF(AN109&lt;&gt;"","Exclude (duplicate)",IF(OR(AK109="Check",AL109="Check",AM109="Check"),"Check",IF(AND(AK109="Yes",AL109="Yes",AM109="Yes"),"Include","Exclude")))</f>
        <v>Include</v>
      </c>
      <c r="AP109" s="10"/>
      <c r="AQ109" s="10" t="s">
        <v>119</v>
      </c>
      <c r="AR109" s="10" t="s">
        <v>2028</v>
      </c>
      <c r="AS109" s="10"/>
      <c r="AT109" s="7" t="str">
        <f aca="false">IF(AR109="","",IFERROR(INDEX(Libraries!$B:$B,MATCH(AR109,Libraries!$A:$A,0)),"ID not found"))</f>
        <v>Polish Soil Spectral Library (PSSL)</v>
      </c>
    </row>
    <row r="110" customFormat="false" ht="132" hidden="false" customHeight="true" outlineLevel="0" collapsed="false">
      <c r="A110" s="12" t="s">
        <v>2029</v>
      </c>
      <c r="B110" s="12" t="s">
        <v>2030</v>
      </c>
      <c r="C110" s="12" t="s">
        <v>225</v>
      </c>
      <c r="D110" s="12" t="s">
        <v>2031</v>
      </c>
      <c r="E110" s="12" t="s">
        <v>2032</v>
      </c>
      <c r="F110" s="12" t="s">
        <v>2033</v>
      </c>
      <c r="G110" s="12" t="s">
        <v>2034</v>
      </c>
      <c r="H110" s="12" t="s">
        <v>135</v>
      </c>
      <c r="I110" s="12" t="s">
        <v>2035</v>
      </c>
      <c r="J110" s="12" t="s">
        <v>95</v>
      </c>
      <c r="K110" s="12" t="s">
        <v>95</v>
      </c>
      <c r="L110" s="12" t="s">
        <v>106</v>
      </c>
      <c r="M110" s="12" t="s">
        <v>2036</v>
      </c>
      <c r="N110" s="12" t="s">
        <v>188</v>
      </c>
      <c r="O110" s="12" t="s">
        <v>106</v>
      </c>
      <c r="P110" s="12" t="s">
        <v>2037</v>
      </c>
      <c r="Q110" s="12" t="s">
        <v>106</v>
      </c>
      <c r="R110" s="12" t="s">
        <v>2038</v>
      </c>
      <c r="S110" s="12" t="s">
        <v>2039</v>
      </c>
      <c r="T110" s="12" t="s">
        <v>2040</v>
      </c>
      <c r="U110" s="12" t="s">
        <v>106</v>
      </c>
      <c r="V110" s="12" t="s">
        <v>2041</v>
      </c>
      <c r="W110" s="12" t="s">
        <v>106</v>
      </c>
      <c r="X110" s="12" t="s">
        <v>2042</v>
      </c>
      <c r="Y110" s="12" t="s">
        <v>106</v>
      </c>
      <c r="Z110" s="12" t="s">
        <v>2043</v>
      </c>
      <c r="AA110" s="12" t="s">
        <v>2044</v>
      </c>
      <c r="AB110" s="12" t="s">
        <v>106</v>
      </c>
      <c r="AC110" s="12" t="s">
        <v>106</v>
      </c>
      <c r="AD110" s="12" t="s">
        <v>106</v>
      </c>
      <c r="AE110" s="12" t="s">
        <v>106</v>
      </c>
      <c r="AF110" s="12" t="s">
        <v>106</v>
      </c>
      <c r="AG110" s="12" t="s">
        <v>2045</v>
      </c>
      <c r="AH110" s="12" t="s">
        <v>106</v>
      </c>
      <c r="AI110" s="12" t="s">
        <v>106</v>
      </c>
      <c r="AJ110" s="12" t="s">
        <v>2046</v>
      </c>
      <c r="AK110" s="10" t="s">
        <v>118</v>
      </c>
      <c r="AL110" s="10" t="s">
        <v>118</v>
      </c>
      <c r="AM110" s="10" t="s">
        <v>118</v>
      </c>
      <c r="AN110" s="10"/>
      <c r="AO110" s="7" t="str">
        <f aca="false">IF(AN110&lt;&gt;"","Exclude (duplicate)",IF(OR(AK110="Check",AL110="Check",AM110="Check"),"Check",IF(AND(AK110="Yes",AL110="Yes",AM110="Yes"),"Include","Exclude")))</f>
        <v>Include</v>
      </c>
      <c r="AP110" s="10"/>
      <c r="AQ110" s="10" t="s">
        <v>119</v>
      </c>
      <c r="AR110" s="10" t="s">
        <v>2047</v>
      </c>
      <c r="AS110" s="10"/>
      <c r="AT110" s="7" t="str">
        <f aca="false">IF(AR110="","",IFERROR(INDEX(Libraries!$B:$B,MATCH(AR110,Libraries!$A:$A,0)),"ID not found"))</f>
        <v>Hungarian MIR library (SIMS)</v>
      </c>
    </row>
    <row r="111" customFormat="false" ht="78.75" hidden="false" customHeight="true" outlineLevel="0" collapsed="false">
      <c r="A111" s="12" t="s">
        <v>2048</v>
      </c>
      <c r="B111" s="12" t="s">
        <v>2049</v>
      </c>
      <c r="C111" s="12" t="s">
        <v>225</v>
      </c>
      <c r="D111" s="12" t="s">
        <v>2050</v>
      </c>
      <c r="E111" s="12" t="s">
        <v>2032</v>
      </c>
      <c r="F111" s="12" t="s">
        <v>2033</v>
      </c>
      <c r="G111" s="12" t="s">
        <v>1418</v>
      </c>
      <c r="H111" s="12" t="s">
        <v>135</v>
      </c>
      <c r="I111" s="12" t="s">
        <v>95</v>
      </c>
      <c r="J111" s="12" t="s">
        <v>95</v>
      </c>
      <c r="K111" s="12" t="s">
        <v>95</v>
      </c>
      <c r="L111" s="12" t="s">
        <v>106</v>
      </c>
      <c r="M111" s="12" t="s">
        <v>106</v>
      </c>
      <c r="N111" s="12" t="s">
        <v>188</v>
      </c>
      <c r="O111" s="12" t="s">
        <v>106</v>
      </c>
      <c r="P111" s="12" t="s">
        <v>2037</v>
      </c>
      <c r="Q111" s="12" t="s">
        <v>106</v>
      </c>
      <c r="R111" s="12" t="s">
        <v>2051</v>
      </c>
      <c r="S111" s="12" t="s">
        <v>193</v>
      </c>
      <c r="T111" s="12" t="s">
        <v>2052</v>
      </c>
      <c r="U111" s="12" t="s">
        <v>106</v>
      </c>
      <c r="V111" s="12" t="s">
        <v>2053</v>
      </c>
      <c r="W111" s="12" t="s">
        <v>106</v>
      </c>
      <c r="X111" s="12" t="s">
        <v>2054</v>
      </c>
      <c r="Y111" s="12" t="s">
        <v>2055</v>
      </c>
      <c r="Z111" s="12" t="s">
        <v>2043</v>
      </c>
      <c r="AA111" s="12" t="s">
        <v>106</v>
      </c>
      <c r="AB111" s="12" t="s">
        <v>106</v>
      </c>
      <c r="AC111" s="12" t="s">
        <v>106</v>
      </c>
      <c r="AD111" s="12" t="s">
        <v>106</v>
      </c>
      <c r="AE111" s="12" t="s">
        <v>106</v>
      </c>
      <c r="AF111" s="12" t="s">
        <v>106</v>
      </c>
      <c r="AG111" s="12" t="s">
        <v>2056</v>
      </c>
      <c r="AH111" s="12" t="s">
        <v>106</v>
      </c>
      <c r="AI111" s="12" t="s">
        <v>106</v>
      </c>
      <c r="AJ111" s="12" t="s">
        <v>2057</v>
      </c>
      <c r="AK111" s="10" t="s">
        <v>118</v>
      </c>
      <c r="AL111" s="10" t="s">
        <v>118</v>
      </c>
      <c r="AM111" s="10" t="s">
        <v>118</v>
      </c>
      <c r="AN111" s="10"/>
      <c r="AO111" s="7" t="str">
        <f aca="false">IF(AN111&lt;&gt;"","Exclude (duplicate)",IF(OR(AK111="Check",AL111="Check",AM111="Check"),"Check",IF(AND(AK111="Yes",AL111="Yes",AM111="Yes"),"Include","Exclude")))</f>
        <v>Include</v>
      </c>
      <c r="AP111" s="10"/>
      <c r="AQ111" s="10" t="s">
        <v>128</v>
      </c>
      <c r="AR111" s="10" t="s">
        <v>2047</v>
      </c>
      <c r="AS111" s="10"/>
      <c r="AT111" s="7" t="str">
        <f aca="false">IF(AR111="","",IFERROR(INDEX(Libraries!$B:$B,MATCH(AR111,Libraries!$A:$A,0)),"ID not found"))</f>
        <v>Hungarian MIR library (SIMS)</v>
      </c>
    </row>
    <row r="112" customFormat="false" ht="52.5" hidden="false" customHeight="true" outlineLevel="0" collapsed="false">
      <c r="A112" s="12" t="s">
        <v>2058</v>
      </c>
      <c r="B112" s="12" t="s">
        <v>2059</v>
      </c>
      <c r="C112" s="12" t="s">
        <v>93</v>
      </c>
      <c r="D112" s="12" t="s">
        <v>2060</v>
      </c>
      <c r="E112" s="12" t="s">
        <v>2061</v>
      </c>
      <c r="F112" s="12" t="s">
        <v>20</v>
      </c>
      <c r="G112" s="12" t="s">
        <v>2062</v>
      </c>
      <c r="H112" s="12" t="s">
        <v>20</v>
      </c>
      <c r="I112" s="12" t="s">
        <v>95</v>
      </c>
      <c r="J112" s="12" t="s">
        <v>95</v>
      </c>
      <c r="K112" s="12" t="s">
        <v>95</v>
      </c>
      <c r="L112" s="12" t="s">
        <v>348</v>
      </c>
      <c r="M112" s="12" t="s">
        <v>106</v>
      </c>
      <c r="N112" s="12" t="s">
        <v>188</v>
      </c>
      <c r="O112" s="12" t="s">
        <v>106</v>
      </c>
      <c r="P112" s="12" t="s">
        <v>106</v>
      </c>
      <c r="Q112" s="12" t="s">
        <v>106</v>
      </c>
      <c r="R112" s="12" t="s">
        <v>106</v>
      </c>
      <c r="S112" s="12" t="s">
        <v>106</v>
      </c>
      <c r="T112" s="12" t="s">
        <v>1945</v>
      </c>
      <c r="U112" s="12" t="s">
        <v>106</v>
      </c>
      <c r="V112" s="12" t="s">
        <v>106</v>
      </c>
      <c r="W112" s="12" t="s">
        <v>106</v>
      </c>
      <c r="X112" s="12" t="s">
        <v>106</v>
      </c>
      <c r="Y112" s="12" t="s">
        <v>106</v>
      </c>
      <c r="Z112" s="12" t="s">
        <v>106</v>
      </c>
      <c r="AA112" s="12" t="s">
        <v>106</v>
      </c>
      <c r="AB112" s="12" t="s">
        <v>106</v>
      </c>
      <c r="AC112" s="12" t="s">
        <v>106</v>
      </c>
      <c r="AD112" s="12" t="s">
        <v>106</v>
      </c>
      <c r="AE112" s="12" t="s">
        <v>106</v>
      </c>
      <c r="AF112" s="12" t="s">
        <v>106</v>
      </c>
      <c r="AG112" s="12" t="s">
        <v>2063</v>
      </c>
      <c r="AH112" s="12" t="s">
        <v>106</v>
      </c>
      <c r="AI112" s="12" t="s">
        <v>106</v>
      </c>
      <c r="AJ112" s="12" t="s">
        <v>2064</v>
      </c>
      <c r="AK112" s="10" t="s">
        <v>118</v>
      </c>
      <c r="AL112" s="10" t="s">
        <v>118</v>
      </c>
      <c r="AM112" s="10" t="s">
        <v>118</v>
      </c>
      <c r="AN112" s="10"/>
      <c r="AO112" s="7" t="str">
        <f aca="false">IF(AN112&lt;&gt;"","Exclude (duplicate)",IF(OR(AK112="Check",AL112="Check",AM112="Check"),"Check",IF(AND(AK112="Yes",AL112="Yes",AM112="Yes"),"Include","Exclude")))</f>
        <v>Include</v>
      </c>
      <c r="AP112" s="10"/>
      <c r="AQ112" s="10" t="s">
        <v>119</v>
      </c>
      <c r="AR112" s="10" t="s">
        <v>2065</v>
      </c>
      <c r="AS112" s="10"/>
      <c r="AT112" s="7" t="str">
        <f aca="false">IF(AR112="","",IFERROR(INDEX(Libraries!$B:$B,MATCH(AR112,Libraries!$A:$A,0)),"ID not found"))</f>
        <v>Globally distributed topsoil MIR library</v>
      </c>
    </row>
    <row r="113" customFormat="false" ht="132" hidden="false" customHeight="true" outlineLevel="0" collapsed="false">
      <c r="A113" s="12" t="s">
        <v>1099</v>
      </c>
      <c r="B113" s="12" t="s">
        <v>1100</v>
      </c>
      <c r="C113" s="12" t="s">
        <v>1101</v>
      </c>
      <c r="D113" s="12" t="s">
        <v>2066</v>
      </c>
      <c r="E113" s="12" t="s">
        <v>2067</v>
      </c>
      <c r="F113" s="12" t="s">
        <v>152</v>
      </c>
      <c r="G113" s="12" t="s">
        <v>2068</v>
      </c>
      <c r="H113" s="12" t="s">
        <v>264</v>
      </c>
      <c r="I113" s="12" t="s">
        <v>2069</v>
      </c>
      <c r="J113" s="12" t="s">
        <v>95</v>
      </c>
      <c r="K113" s="12" t="s">
        <v>95</v>
      </c>
      <c r="L113" s="12" t="s">
        <v>348</v>
      </c>
      <c r="M113" s="12" t="s">
        <v>2070</v>
      </c>
      <c r="N113" s="12" t="s">
        <v>2071</v>
      </c>
      <c r="O113" s="12" t="s">
        <v>2072</v>
      </c>
      <c r="P113" s="12" t="s">
        <v>1109</v>
      </c>
      <c r="Q113" s="12" t="s">
        <v>106</v>
      </c>
      <c r="R113" s="12" t="s">
        <v>1110</v>
      </c>
      <c r="S113" s="12" t="s">
        <v>2073</v>
      </c>
      <c r="T113" s="12" t="s">
        <v>106</v>
      </c>
      <c r="U113" s="12" t="s">
        <v>106</v>
      </c>
      <c r="V113" s="12" t="s">
        <v>106</v>
      </c>
      <c r="W113" s="12" t="s">
        <v>106</v>
      </c>
      <c r="X113" s="12" t="s">
        <v>2074</v>
      </c>
      <c r="Y113" s="12" t="s">
        <v>2075</v>
      </c>
      <c r="Z113" s="12" t="s">
        <v>106</v>
      </c>
      <c r="AA113" s="12" t="s">
        <v>106</v>
      </c>
      <c r="AB113" s="12" t="s">
        <v>106</v>
      </c>
      <c r="AC113" s="12" t="s">
        <v>106</v>
      </c>
      <c r="AD113" s="12" t="s">
        <v>106</v>
      </c>
      <c r="AE113" s="12" t="s">
        <v>106</v>
      </c>
      <c r="AF113" s="12" t="s">
        <v>106</v>
      </c>
      <c r="AG113" s="12" t="s">
        <v>2076</v>
      </c>
      <c r="AH113" s="12" t="s">
        <v>106</v>
      </c>
      <c r="AI113" s="12" t="s">
        <v>106</v>
      </c>
      <c r="AJ113" s="12" t="s">
        <v>2077</v>
      </c>
      <c r="AK113" s="10" t="s">
        <v>118</v>
      </c>
      <c r="AL113" s="10" t="s">
        <v>118</v>
      </c>
      <c r="AM113" s="10" t="s">
        <v>118</v>
      </c>
      <c r="AN113" s="10" t="n">
        <v>52</v>
      </c>
      <c r="AO113" s="7" t="str">
        <f aca="false">IF(AN113&lt;&gt;"","Exclude (duplicate)",IF(OR(AK113="Check",AL113="Check",AM113="Check"),"Check",IF(AND(AK113="Yes",AL113="Yes",AM113="Yes"),"Include","Exclude")))</f>
        <v>Exclude (duplicate)</v>
      </c>
      <c r="AP113" s="10" t="s">
        <v>2078</v>
      </c>
      <c r="AQ113" s="10" t="s">
        <v>119</v>
      </c>
      <c r="AR113" s="10" t="s">
        <v>1123</v>
      </c>
      <c r="AS113" s="10"/>
      <c r="AT113" s="7" t="str">
        <f aca="false">IF(AR113="","",IFERROR(INDEX(Libraries!$B:$B,MATCH(AR113,Libraries!$A:$A,0)),"ID not found"))</f>
        <v>ICRAF Eastern &amp; Southern Africa reflectance library</v>
      </c>
    </row>
    <row r="114" customFormat="false" ht="105" hidden="false" customHeight="true" outlineLevel="0" collapsed="false">
      <c r="A114" s="12" t="s">
        <v>2079</v>
      </c>
      <c r="B114" s="12" t="s">
        <v>2080</v>
      </c>
      <c r="C114" s="12" t="s">
        <v>2081</v>
      </c>
      <c r="D114" s="12" t="s">
        <v>2082</v>
      </c>
      <c r="E114" s="12" t="s">
        <v>2083</v>
      </c>
      <c r="F114" s="12" t="s">
        <v>152</v>
      </c>
      <c r="G114" s="12" t="s">
        <v>2084</v>
      </c>
      <c r="H114" s="12" t="s">
        <v>467</v>
      </c>
      <c r="I114" s="12" t="s">
        <v>2085</v>
      </c>
      <c r="J114" s="12" t="s">
        <v>95</v>
      </c>
      <c r="K114" s="12" t="s">
        <v>2086</v>
      </c>
      <c r="L114" s="12" t="s">
        <v>106</v>
      </c>
      <c r="M114" s="12" t="s">
        <v>2087</v>
      </c>
      <c r="N114" s="12" t="s">
        <v>472</v>
      </c>
      <c r="O114" s="12" t="s">
        <v>158</v>
      </c>
      <c r="P114" s="12" t="s">
        <v>2088</v>
      </c>
      <c r="Q114" s="12" t="s">
        <v>106</v>
      </c>
      <c r="R114" s="12" t="s">
        <v>2089</v>
      </c>
      <c r="S114" s="12" t="s">
        <v>2090</v>
      </c>
      <c r="T114" s="12" t="s">
        <v>2091</v>
      </c>
      <c r="U114" s="12" t="s">
        <v>106</v>
      </c>
      <c r="V114" s="12" t="s">
        <v>106</v>
      </c>
      <c r="W114" s="12" t="s">
        <v>106</v>
      </c>
      <c r="X114" s="12" t="s">
        <v>106</v>
      </c>
      <c r="Y114" s="12" t="s">
        <v>106</v>
      </c>
      <c r="Z114" s="12" t="s">
        <v>106</v>
      </c>
      <c r="AA114" s="12" t="s">
        <v>106</v>
      </c>
      <c r="AB114" s="12" t="s">
        <v>2092</v>
      </c>
      <c r="AC114" s="12" t="s">
        <v>2093</v>
      </c>
      <c r="AD114" s="12" t="s">
        <v>106</v>
      </c>
      <c r="AE114" s="12" t="s">
        <v>106</v>
      </c>
      <c r="AF114" s="12" t="s">
        <v>106</v>
      </c>
      <c r="AG114" s="12" t="s">
        <v>2094</v>
      </c>
      <c r="AH114" s="12" t="s">
        <v>2095</v>
      </c>
      <c r="AI114" s="12" t="s">
        <v>106</v>
      </c>
      <c r="AJ114" s="12" t="s">
        <v>2096</v>
      </c>
      <c r="AK114" s="10" t="s">
        <v>118</v>
      </c>
      <c r="AL114" s="10" t="s">
        <v>118</v>
      </c>
      <c r="AM114" s="10" t="s">
        <v>118</v>
      </c>
      <c r="AN114" s="10"/>
      <c r="AO114" s="7" t="str">
        <f aca="false">IF(AN114&lt;&gt;"","Exclude (duplicate)",IF(OR(AK114="Check",AL114="Check",AM114="Check"),"Check",IF(AND(AK114="Yes",AL114="Yes",AM114="Yes"),"Include","Exclude")))</f>
        <v>Include</v>
      </c>
      <c r="AP114" s="10"/>
      <c r="AQ114" s="10" t="s">
        <v>119</v>
      </c>
      <c r="AR114" s="10" t="s">
        <v>2097</v>
      </c>
      <c r="AS114" s="10"/>
      <c r="AT114" s="7" t="str">
        <f aca="false">IF(AR114="","",IFERROR(INDEX(Libraries!$B:$B,MATCH(AR114,Libraries!$A:$A,0)),"ID not found"))</f>
        <v>Canadian Prairie Soil Spectral Library (CPSSL)</v>
      </c>
    </row>
  </sheetData>
  <autoFilter ref="A1:AT114"/>
  <dataValidations count="3">
    <dataValidation allowBlank="true" errorStyle="stop" operator="between" showDropDown="false" showErrorMessage="false" showInputMessage="false" sqref="AK2:AM114" type="list">
      <formula1>"Yes,No,Check"</formula1>
      <formula2>0</formula2>
    </dataValidation>
    <dataValidation allowBlank="true" errorStyle="stop" operator="between" showDropDown="false" showErrorMessage="false" showInputMessage="false" sqref="AQ2:AQ114" type="list">
      <formula1>"Introduces,Extends / updates,Methods for,Uses,—"</formula1>
      <formula2>0</formula2>
    </dataValidation>
    <dataValidation allowBlank="true" errorStyle="stop" operator="between" showDropDown="false" showErrorMessage="false" showInputMessage="false" sqref="AR2:AS114" type="list">
      <formula1>Libraries!$A$2:$A$56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40"/>
    <col collapsed="false" customWidth="true" hidden="false" outlineLevel="0" max="3" min="3" style="1" width="14"/>
    <col collapsed="false" customWidth="true" hidden="false" outlineLevel="0" max="4" min="4" style="1" width="30"/>
    <col collapsed="false" customWidth="true" hidden="false" outlineLevel="0" max="5" min="5" style="1" width="16"/>
    <col collapsed="false" customWidth="true" hidden="false" outlineLevel="0" max="6" min="6" style="1" width="22"/>
    <col collapsed="false" customWidth="true" hidden="false" outlineLevel="0" max="7" min="7" style="1" width="26"/>
    <col collapsed="false" customWidth="true" hidden="false" outlineLevel="0" max="9" min="8" style="1" width="11"/>
    <col collapsed="false" customWidth="true" hidden="false" outlineLevel="0" max="10" min="10" style="1" width="30"/>
    <col collapsed="false" customWidth="true" hidden="false" outlineLevel="0" max="11" min="11" style="1" width="11"/>
    <col collapsed="false" customWidth="true" hidden="false" outlineLevel="0" max="12" min="12" style="1" width="12"/>
    <col collapsed="false" customWidth="true" hidden="false" outlineLevel="0" max="13" min="13" style="1" width="11"/>
    <col collapsed="false" customWidth="true" hidden="false" outlineLevel="0" max="14" min="14" style="1" width="30"/>
    <col collapsed="false" customWidth="true" hidden="false" outlineLevel="0" max="15" min="15" style="1" width="50"/>
    <col collapsed="false" customWidth="true" hidden="false" outlineLevel="0" max="17" min="16" style="0" width="12"/>
  </cols>
  <sheetData>
    <row r="1" customFormat="false" ht="45.75" hidden="false" customHeight="true" outlineLevel="0" collapsed="false">
      <c r="A1" s="9" t="s">
        <v>88</v>
      </c>
      <c r="B1" s="9" t="s">
        <v>90</v>
      </c>
      <c r="C1" s="9" t="s">
        <v>54</v>
      </c>
      <c r="D1" s="9" t="s">
        <v>27</v>
      </c>
      <c r="E1" s="9" t="s">
        <v>56</v>
      </c>
      <c r="F1" s="9" t="s">
        <v>2098</v>
      </c>
      <c r="G1" s="9" t="s">
        <v>2099</v>
      </c>
      <c r="H1" s="9" t="s">
        <v>2100</v>
      </c>
      <c r="I1" s="9" t="s">
        <v>2101</v>
      </c>
      <c r="J1" s="9" t="s">
        <v>2102</v>
      </c>
      <c r="K1" s="9" t="s">
        <v>2103</v>
      </c>
      <c r="L1" s="9" t="s">
        <v>2104</v>
      </c>
      <c r="M1" s="9" t="s">
        <v>2105</v>
      </c>
      <c r="N1" s="9" t="s">
        <v>2106</v>
      </c>
      <c r="O1" s="9" t="s">
        <v>2107</v>
      </c>
      <c r="P1" s="9" t="s">
        <v>2108</v>
      </c>
      <c r="Q1" s="9" t="s">
        <v>2109</v>
      </c>
    </row>
    <row r="2" customFormat="false" ht="23.25" hidden="false" customHeight="true" outlineLevel="0" collapsed="false">
      <c r="A2" s="7" t="s">
        <v>923</v>
      </c>
      <c r="B2" s="10" t="s">
        <v>1412</v>
      </c>
      <c r="C2" s="10" t="s">
        <v>20</v>
      </c>
      <c r="D2" s="10" t="s">
        <v>222</v>
      </c>
      <c r="E2" s="10" t="s">
        <v>20</v>
      </c>
      <c r="F2" s="7" t="s">
        <v>2110</v>
      </c>
      <c r="G2" s="7" t="s">
        <v>2111</v>
      </c>
      <c r="H2" s="10" t="n">
        <v>49753</v>
      </c>
      <c r="I2" s="7" t="str">
        <f aca="false">IF(H2="","Unknown",IF(H2&lt;200,"Yes","No"))</f>
        <v>No</v>
      </c>
      <c r="J2" s="7" t="s">
        <v>2110</v>
      </c>
      <c r="K2" s="7" t="n">
        <v>69</v>
      </c>
      <c r="L2" s="7" t="str">
        <f aca="false">IF(COUNTIFS(Papers!$AR$2:$AR$114,A2,Papers!$AQ$2:$AQ$114,"Introduces",Papers!$AO$2:$AO$114,"Include")&gt;0,"Yes","No")</f>
        <v>Yes</v>
      </c>
      <c r="M2" s="7" t="n">
        <f aca="false">COUNTIFS(Papers!$AR$2:$AR$114,A2,Papers!$AO$2:$AO$114,"Include")+COUNTIFS(Papers!$AS$2:$AS$114,A2,Papers!$AO$2:$AO$114,"Include")</f>
        <v>2</v>
      </c>
      <c r="N2" s="7" t="s">
        <v>2112</v>
      </c>
      <c r="O2" s="10"/>
      <c r="P2" s="13"/>
      <c r="Q2" s="13"/>
    </row>
    <row r="3" customFormat="false" ht="23.25" hidden="false" customHeight="true" outlineLevel="0" collapsed="false">
      <c r="A3" s="7" t="s">
        <v>1863</v>
      </c>
      <c r="B3" s="10" t="s">
        <v>2113</v>
      </c>
      <c r="C3" s="10" t="s">
        <v>20</v>
      </c>
      <c r="D3" s="10" t="s">
        <v>222</v>
      </c>
      <c r="E3" s="10" t="s">
        <v>20</v>
      </c>
      <c r="F3" s="7" t="s">
        <v>1028</v>
      </c>
      <c r="G3" s="7" t="s">
        <v>2114</v>
      </c>
      <c r="H3" s="10" t="n">
        <v>4184</v>
      </c>
      <c r="I3" s="7" t="str">
        <f aca="false">IF(H3="","Unknown",IF(H3&lt;200,"Yes","No"))</f>
        <v>No</v>
      </c>
      <c r="J3" s="7" t="s">
        <v>106</v>
      </c>
      <c r="K3" s="7" t="n">
        <v>96</v>
      </c>
      <c r="L3" s="7" t="str">
        <f aca="false">IF(COUNTIFS(Papers!$AR$2:$AR$114,A3,Papers!$AQ$2:$AQ$114,"Introduces",Papers!$AO$2:$AO$114,"Include")&gt;0,"Yes","No")</f>
        <v>Yes</v>
      </c>
      <c r="M3" s="7" t="n">
        <f aca="false">COUNTIFS(Papers!$AR$2:$AR$114,A3,Papers!$AO$2:$AO$114,"Include")+COUNTIFS(Papers!$AS$2:$AS$114,A3,Papers!$AO$2:$AO$114,"Include")</f>
        <v>1</v>
      </c>
      <c r="N3" s="7" t="s">
        <v>2115</v>
      </c>
      <c r="O3" s="10"/>
      <c r="P3" s="13"/>
      <c r="Q3" s="13"/>
    </row>
    <row r="4" customFormat="false" ht="34.5" hidden="false" customHeight="true" outlineLevel="0" collapsed="false">
      <c r="A4" s="7" t="s">
        <v>1850</v>
      </c>
      <c r="B4" s="10" t="s">
        <v>1831</v>
      </c>
      <c r="C4" s="10" t="s">
        <v>20</v>
      </c>
      <c r="D4" s="10" t="s">
        <v>222</v>
      </c>
      <c r="E4" s="10" t="s">
        <v>20</v>
      </c>
      <c r="F4" s="7" t="s">
        <v>472</v>
      </c>
      <c r="G4" s="7" t="s">
        <v>2116</v>
      </c>
      <c r="H4" s="10" t="n">
        <v>23631</v>
      </c>
      <c r="I4" s="7" t="str">
        <f aca="false">IF(H4="","Unknown",IF(H4&lt;200,"Yes","No"))</f>
        <v>No</v>
      </c>
      <c r="J4" s="7" t="s">
        <v>1845</v>
      </c>
      <c r="K4" s="7" t="n">
        <v>95</v>
      </c>
      <c r="L4" s="7" t="str">
        <f aca="false">IF(COUNTIFS(Papers!$AR$2:$AR$114,A4,Papers!$AQ$2:$AQ$114,"Introduces",Papers!$AO$2:$AO$114,"Include")&gt;0,"Yes","No")</f>
        <v>Yes</v>
      </c>
      <c r="M4" s="7" t="n">
        <f aca="false">COUNTIFS(Papers!$AR$2:$AR$114,A4,Papers!$AO$2:$AO$114,"Include")+COUNTIFS(Papers!$AS$2:$AS$114,A4,Papers!$AO$2:$AO$114,"Include")</f>
        <v>1</v>
      </c>
      <c r="N4" s="7" t="s">
        <v>2117</v>
      </c>
      <c r="O4" s="10"/>
      <c r="P4" s="13"/>
      <c r="Q4" s="13"/>
    </row>
    <row r="5" customFormat="false" ht="23.25" hidden="false" customHeight="true" outlineLevel="0" collapsed="false">
      <c r="A5" s="7" t="s">
        <v>1876</v>
      </c>
      <c r="B5" s="10" t="s">
        <v>2118</v>
      </c>
      <c r="C5" s="10" t="s">
        <v>20</v>
      </c>
      <c r="D5" s="10" t="s">
        <v>222</v>
      </c>
      <c r="E5" s="10" t="s">
        <v>20</v>
      </c>
      <c r="F5" s="7" t="s">
        <v>188</v>
      </c>
      <c r="G5" s="7" t="s">
        <v>2119</v>
      </c>
      <c r="H5" s="10" t="n">
        <v>971</v>
      </c>
      <c r="I5" s="7" t="str">
        <f aca="false">IF(H5="","Unknown",IF(H5&lt;200,"Yes","No"))</f>
        <v>No</v>
      </c>
      <c r="J5" s="7" t="s">
        <v>106</v>
      </c>
      <c r="K5" s="7" t="n">
        <v>97</v>
      </c>
      <c r="L5" s="7" t="str">
        <f aca="false">IF(COUNTIFS(Papers!$AR$2:$AR$114,A5,Papers!$AQ$2:$AQ$114,"Introduces",Papers!$AO$2:$AO$114,"Include")&gt;0,"Yes","No")</f>
        <v>Yes</v>
      </c>
      <c r="M5" s="7" t="n">
        <f aca="false">COUNTIFS(Papers!$AR$2:$AR$114,A5,Papers!$AO$2:$AO$114,"Include")+COUNTIFS(Papers!$AS$2:$AS$114,A5,Papers!$AO$2:$AO$114,"Include")</f>
        <v>1</v>
      </c>
      <c r="N5" s="7" t="s">
        <v>2120</v>
      </c>
      <c r="O5" s="10"/>
      <c r="P5" s="13"/>
      <c r="Q5" s="13"/>
    </row>
    <row r="6" customFormat="false" ht="34.5" hidden="false" customHeight="true" outlineLevel="0" collapsed="false">
      <c r="A6" s="7" t="s">
        <v>1227</v>
      </c>
      <c r="B6" s="10" t="s">
        <v>2121</v>
      </c>
      <c r="C6" s="10" t="s">
        <v>20</v>
      </c>
      <c r="D6" s="10" t="s">
        <v>222</v>
      </c>
      <c r="E6" s="10" t="s">
        <v>20</v>
      </c>
      <c r="F6" s="7" t="s">
        <v>472</v>
      </c>
      <c r="G6" s="7" t="s">
        <v>2122</v>
      </c>
      <c r="H6" s="10" t="n">
        <v>4437</v>
      </c>
      <c r="I6" s="7" t="str">
        <f aca="false">IF(H6="","Unknown",IF(H6&lt;200,"Yes","No"))</f>
        <v>No</v>
      </c>
      <c r="J6" s="7" t="s">
        <v>1404</v>
      </c>
      <c r="K6" s="7" t="n">
        <v>68</v>
      </c>
      <c r="L6" s="7" t="str">
        <f aca="false">IF(COUNTIFS(Papers!$AR$2:$AR$114,A6,Papers!$AQ$2:$AQ$114,"Introduces",Papers!$AO$2:$AO$114,"Include")&gt;0,"Yes","No")</f>
        <v>No</v>
      </c>
      <c r="M6" s="7" t="n">
        <f aca="false">COUNTIFS(Papers!$AR$2:$AR$114,A6,Papers!$AO$2:$AO$114,"Include")+COUNTIFS(Papers!$AS$2:$AS$114,A6,Papers!$AO$2:$AO$114,"Include")</f>
        <v>3</v>
      </c>
      <c r="N6" s="7" t="s">
        <v>2123</v>
      </c>
      <c r="O6" s="10" t="s">
        <v>2124</v>
      </c>
      <c r="P6" s="13"/>
      <c r="Q6" s="13"/>
    </row>
    <row r="7" customFormat="false" ht="23.25" hidden="false" customHeight="true" outlineLevel="0" collapsed="false">
      <c r="A7" s="7" t="s">
        <v>398</v>
      </c>
      <c r="B7" s="10" t="s">
        <v>2125</v>
      </c>
      <c r="C7" s="10" t="s">
        <v>20</v>
      </c>
      <c r="D7" s="10" t="s">
        <v>222</v>
      </c>
      <c r="E7" s="10" t="s">
        <v>20</v>
      </c>
      <c r="F7" s="7" t="s">
        <v>375</v>
      </c>
      <c r="G7" s="7" t="s">
        <v>2126</v>
      </c>
      <c r="H7" s="10" t="n">
        <v>135651</v>
      </c>
      <c r="I7" s="7" t="str">
        <f aca="false">IF(H7="","Unknown",IF(H7&lt;200,"Yes","No"))</f>
        <v>No</v>
      </c>
      <c r="J7" s="7" t="s">
        <v>390</v>
      </c>
      <c r="K7" s="7" t="n">
        <v>16</v>
      </c>
      <c r="L7" s="7" t="str">
        <f aca="false">IF(COUNTIFS(Papers!$AR$2:$AR$114,A7,Papers!$AQ$2:$AQ$114,"Introduces",Papers!$AO$2:$AO$114,"Include")&gt;0,"Yes","No")</f>
        <v>Yes</v>
      </c>
      <c r="M7" s="7" t="n">
        <f aca="false">COUNTIFS(Papers!$AR$2:$AR$114,A7,Papers!$AO$2:$AO$114,"Include")+COUNTIFS(Papers!$AS$2:$AS$114,A7,Papers!$AO$2:$AO$114,"Include")</f>
        <v>2</v>
      </c>
      <c r="N7" s="7" t="s">
        <v>2127</v>
      </c>
      <c r="O7" s="10"/>
      <c r="P7" s="13"/>
      <c r="Q7" s="13"/>
    </row>
    <row r="8" customFormat="false" ht="23.25" hidden="false" customHeight="true" outlineLevel="0" collapsed="false">
      <c r="A8" s="7" t="s">
        <v>2065</v>
      </c>
      <c r="B8" s="10" t="s">
        <v>2128</v>
      </c>
      <c r="C8" s="10" t="s">
        <v>20</v>
      </c>
      <c r="D8" s="10" t="s">
        <v>222</v>
      </c>
      <c r="E8" s="10" t="s">
        <v>20</v>
      </c>
      <c r="F8" s="7" t="s">
        <v>188</v>
      </c>
      <c r="G8" s="7" t="s">
        <v>2110</v>
      </c>
      <c r="H8" s="10"/>
      <c r="I8" s="7" t="str">
        <f aca="false">IF(H8="","Unknown",IF(H8&lt;200,"Yes","No"))</f>
        <v>Unknown</v>
      </c>
      <c r="J8" s="7" t="s">
        <v>106</v>
      </c>
      <c r="K8" s="7" t="n">
        <v>112</v>
      </c>
      <c r="L8" s="7" t="str">
        <f aca="false">IF(COUNTIFS(Papers!$AR$2:$AR$114,A8,Papers!$AQ$2:$AQ$114,"Introduces",Papers!$AO$2:$AO$114,"Include")&gt;0,"Yes","No")</f>
        <v>Yes</v>
      </c>
      <c r="M8" s="7" t="n">
        <f aca="false">COUNTIFS(Papers!$AR$2:$AR$114,A8,Papers!$AO$2:$AO$114,"Include")+COUNTIFS(Papers!$AS$2:$AS$114,A8,Papers!$AO$2:$AO$114,"Include")</f>
        <v>1</v>
      </c>
      <c r="N8" s="7" t="s">
        <v>2129</v>
      </c>
      <c r="O8" s="10" t="s">
        <v>2130</v>
      </c>
      <c r="P8" s="13"/>
      <c r="Q8" s="13"/>
    </row>
    <row r="9" customFormat="false" ht="45.75" hidden="false" customHeight="true" outlineLevel="0" collapsed="false">
      <c r="A9" s="7" t="s">
        <v>1123</v>
      </c>
      <c r="B9" s="10" t="s">
        <v>2131</v>
      </c>
      <c r="C9" s="10" t="s">
        <v>2132</v>
      </c>
      <c r="D9" s="10" t="s">
        <v>222</v>
      </c>
      <c r="E9" s="10" t="s">
        <v>264</v>
      </c>
      <c r="F9" s="7" t="s">
        <v>278</v>
      </c>
      <c r="G9" s="7" t="s">
        <v>2133</v>
      </c>
      <c r="H9" s="10" t="n">
        <v>971</v>
      </c>
      <c r="I9" s="7" t="str">
        <f aca="false">IF(H9="","Unknown",IF(H9&lt;200,"Yes","No"))</f>
        <v>No</v>
      </c>
      <c r="J9" s="7" t="s">
        <v>1118</v>
      </c>
      <c r="K9" s="7" t="n">
        <v>52</v>
      </c>
      <c r="L9" s="7" t="str">
        <f aca="false">IF(COUNTIFS(Papers!$AR$2:$AR$114,A9,Papers!$AQ$2:$AQ$114,"Introduces",Papers!$AO$2:$AO$114,"Include")&gt;0,"Yes","No")</f>
        <v>Yes</v>
      </c>
      <c r="M9" s="7" t="n">
        <f aca="false">COUNTIFS(Papers!$AR$2:$AR$114,A9,Papers!$AO$2:$AO$114,"Include")+COUNTIFS(Papers!$AS$2:$AS$114,A9,Papers!$AO$2:$AO$114,"Include")</f>
        <v>1</v>
      </c>
      <c r="N9" s="7" t="s">
        <v>2134</v>
      </c>
      <c r="O9" s="10" t="s">
        <v>2135</v>
      </c>
      <c r="P9" s="13"/>
      <c r="Q9" s="13"/>
    </row>
    <row r="10" customFormat="false" ht="23.25" hidden="false" customHeight="true" outlineLevel="0" collapsed="false">
      <c r="A10" s="7" t="s">
        <v>409</v>
      </c>
      <c r="B10" s="10" t="s">
        <v>2136</v>
      </c>
      <c r="C10" s="10" t="s">
        <v>2132</v>
      </c>
      <c r="D10" s="10" t="s">
        <v>222</v>
      </c>
      <c r="E10" s="10" t="s">
        <v>135</v>
      </c>
      <c r="F10" s="7" t="s">
        <v>472</v>
      </c>
      <c r="G10" s="7" t="s">
        <v>2137</v>
      </c>
      <c r="H10" s="10" t="n">
        <v>19969</v>
      </c>
      <c r="I10" s="7" t="str">
        <f aca="false">IF(H10="","Unknown",IF(H10&lt;200,"Yes","No"))</f>
        <v>No</v>
      </c>
      <c r="J10" s="7" t="s">
        <v>871</v>
      </c>
      <c r="K10" s="7" t="n">
        <v>39</v>
      </c>
      <c r="L10" s="7" t="str">
        <f aca="false">IF(COUNTIFS(Papers!$AR$2:$AR$114,A10,Papers!$AQ$2:$AQ$114,"Introduces",Papers!$AO$2:$AO$114,"Include")&gt;0,"Yes","No")</f>
        <v>No</v>
      </c>
      <c r="M10" s="7" t="n">
        <f aca="false">COUNTIFS(Papers!$AR$2:$AR$114,A10,Papers!$AO$2:$AO$114,"Include")+COUNTIFS(Papers!$AS$2:$AS$114,A10,Papers!$AO$2:$AO$114,"Include")</f>
        <v>5</v>
      </c>
      <c r="N10" s="7" t="s">
        <v>2123</v>
      </c>
      <c r="O10" s="10" t="s">
        <v>2138</v>
      </c>
      <c r="P10" s="13"/>
      <c r="Q10" s="13"/>
    </row>
    <row r="11" customFormat="false" ht="23.25" hidden="false" customHeight="true" outlineLevel="0" collapsed="false">
      <c r="A11" s="7" t="s">
        <v>745</v>
      </c>
      <c r="B11" s="10" t="s">
        <v>2139</v>
      </c>
      <c r="C11" s="10" t="s">
        <v>22</v>
      </c>
      <c r="D11" s="10" t="s">
        <v>2140</v>
      </c>
      <c r="E11" s="10" t="s">
        <v>264</v>
      </c>
      <c r="F11" s="7" t="s">
        <v>723</v>
      </c>
      <c r="G11" s="7" t="s">
        <v>2141</v>
      </c>
      <c r="H11" s="10" t="n">
        <v>1800</v>
      </c>
      <c r="I11" s="7" t="str">
        <f aca="false">IF(H11="","Unknown",IF(H11&lt;200,"Yes","No"))</f>
        <v>No</v>
      </c>
      <c r="J11" s="7" t="s">
        <v>737</v>
      </c>
      <c r="K11" s="7" t="n">
        <v>32</v>
      </c>
      <c r="L11" s="7" t="str">
        <f aca="false">IF(COUNTIFS(Papers!$AR$2:$AR$114,A11,Papers!$AQ$2:$AQ$114,"Introduces",Papers!$AO$2:$AO$114,"Include")&gt;0,"Yes","No")</f>
        <v>Yes</v>
      </c>
      <c r="M11" s="7" t="n">
        <f aca="false">COUNTIFS(Papers!$AR$2:$AR$114,A11,Papers!$AO$2:$AO$114,"Include")+COUNTIFS(Papers!$AS$2:$AS$114,A11,Papers!$AO$2:$AO$114,"Include")</f>
        <v>1</v>
      </c>
      <c r="N11" s="7" t="s">
        <v>2142</v>
      </c>
      <c r="O11" s="10"/>
      <c r="P11" s="13"/>
      <c r="Q11" s="13"/>
    </row>
    <row r="12" customFormat="false" ht="23.25" hidden="false" customHeight="true" outlineLevel="0" collapsed="false">
      <c r="A12" s="7" t="s">
        <v>754</v>
      </c>
      <c r="B12" s="10" t="s">
        <v>2143</v>
      </c>
      <c r="C12" s="10" t="s">
        <v>22</v>
      </c>
      <c r="D12" s="10" t="s">
        <v>2144</v>
      </c>
      <c r="E12" s="10" t="s">
        <v>264</v>
      </c>
      <c r="F12" s="7" t="s">
        <v>2110</v>
      </c>
      <c r="G12" s="7" t="s">
        <v>2145</v>
      </c>
      <c r="H12" s="10" t="n">
        <v>181</v>
      </c>
      <c r="I12" s="7" t="str">
        <f aca="false">IF(H12="","Unknown",IF(H12&lt;200,"Yes","No"))</f>
        <v>Yes</v>
      </c>
      <c r="J12" s="7" t="s">
        <v>2110</v>
      </c>
      <c r="K12" s="7" t="n">
        <v>33</v>
      </c>
      <c r="L12" s="7" t="str">
        <f aca="false">IF(COUNTIFS(Papers!$AR$2:$AR$114,A12,Papers!$AQ$2:$AQ$114,"Introduces",Papers!$AO$2:$AO$114,"Include")&gt;0,"Yes","No")</f>
        <v>Yes</v>
      </c>
      <c r="M12" s="7" t="n">
        <f aca="false">COUNTIFS(Papers!$AR$2:$AR$114,A12,Papers!$AO$2:$AO$114,"Include")+COUNTIFS(Papers!$AS$2:$AS$114,A12,Papers!$AO$2:$AO$114,"Include")</f>
        <v>1</v>
      </c>
      <c r="N12" s="7" t="s">
        <v>2146</v>
      </c>
      <c r="O12" s="10"/>
      <c r="P12" s="13"/>
      <c r="Q12" s="13"/>
    </row>
    <row r="13" customFormat="false" ht="23.25" hidden="false" customHeight="true" outlineLevel="0" collapsed="false">
      <c r="A13" s="7" t="s">
        <v>210</v>
      </c>
      <c r="B13" s="10" t="s">
        <v>2147</v>
      </c>
      <c r="C13" s="10" t="s">
        <v>22</v>
      </c>
      <c r="D13" s="10" t="s">
        <v>2148</v>
      </c>
      <c r="E13" s="10" t="s">
        <v>135</v>
      </c>
      <c r="F13" s="7" t="s">
        <v>188</v>
      </c>
      <c r="G13" s="7" t="s">
        <v>2149</v>
      </c>
      <c r="H13" s="10" t="n">
        <v>1013</v>
      </c>
      <c r="I13" s="7" t="str">
        <f aca="false">IF(H13="","Unknown",IF(H13&lt;200,"Yes","No"))</f>
        <v>No</v>
      </c>
      <c r="J13" s="7" t="s">
        <v>203</v>
      </c>
      <c r="K13" s="7" t="n">
        <v>7</v>
      </c>
      <c r="L13" s="7" t="str">
        <f aca="false">IF(COUNTIFS(Papers!$AR$2:$AR$114,A13,Papers!$AQ$2:$AQ$114,"Introduces",Papers!$AO$2:$AO$114,"Include")&gt;0,"Yes","No")</f>
        <v>Yes</v>
      </c>
      <c r="M13" s="7" t="n">
        <f aca="false">COUNTIFS(Papers!$AR$2:$AR$114,A13,Papers!$AO$2:$AO$114,"Include")+COUNTIFS(Papers!$AS$2:$AS$114,A13,Papers!$AO$2:$AO$114,"Include")</f>
        <v>1</v>
      </c>
      <c r="N13" s="7" t="s">
        <v>2150</v>
      </c>
      <c r="O13" s="10"/>
      <c r="P13" s="13"/>
      <c r="Q13" s="13"/>
    </row>
    <row r="14" customFormat="false" ht="23.25" hidden="false" customHeight="true" outlineLevel="0" collapsed="false">
      <c r="A14" s="7" t="s">
        <v>691</v>
      </c>
      <c r="B14" s="10" t="s">
        <v>2151</v>
      </c>
      <c r="C14" s="10" t="s">
        <v>22</v>
      </c>
      <c r="D14" s="10" t="s">
        <v>2152</v>
      </c>
      <c r="E14" s="10" t="s">
        <v>2153</v>
      </c>
      <c r="F14" s="7" t="s">
        <v>699</v>
      </c>
      <c r="G14" s="7" t="s">
        <v>2154</v>
      </c>
      <c r="H14" s="10" t="n">
        <v>1760</v>
      </c>
      <c r="I14" s="7" t="str">
        <f aca="false">IF(H14="","Unknown",IF(H14&lt;200,"Yes","No"))</f>
        <v>No</v>
      </c>
      <c r="J14" s="7" t="s">
        <v>707</v>
      </c>
      <c r="K14" s="7" t="n">
        <v>31</v>
      </c>
      <c r="L14" s="7" t="str">
        <f aca="false">IF(COUNTIFS(Papers!$AR$2:$AR$114,A14,Papers!$AQ$2:$AQ$114,"Introduces",Papers!$AO$2:$AO$114,"Include")&gt;0,"Yes","No")</f>
        <v>Yes</v>
      </c>
      <c r="M14" s="7" t="n">
        <f aca="false">COUNTIFS(Papers!$AR$2:$AR$114,A14,Papers!$AO$2:$AO$114,"Include")+COUNTIFS(Papers!$AS$2:$AS$114,A14,Papers!$AO$2:$AO$114,"Include")</f>
        <v>2</v>
      </c>
      <c r="N14" s="7" t="s">
        <v>2155</v>
      </c>
      <c r="O14" s="10"/>
      <c r="P14" s="13"/>
      <c r="Q14" s="13"/>
    </row>
    <row r="15" customFormat="false" ht="23.25" hidden="false" customHeight="true" outlineLevel="0" collapsed="false">
      <c r="A15" s="7" t="s">
        <v>949</v>
      </c>
      <c r="B15" s="10" t="s">
        <v>2156</v>
      </c>
      <c r="C15" s="10" t="s">
        <v>23</v>
      </c>
      <c r="D15" s="10" t="s">
        <v>927</v>
      </c>
      <c r="E15" s="10" t="s">
        <v>135</v>
      </c>
      <c r="F15" s="7" t="s">
        <v>350</v>
      </c>
      <c r="G15" s="7" t="s">
        <v>2157</v>
      </c>
      <c r="H15" s="10" t="n">
        <v>2129</v>
      </c>
      <c r="I15" s="7" t="str">
        <f aca="false">IF(H15="","Unknown",IF(H15&lt;200,"Yes","No"))</f>
        <v>No</v>
      </c>
      <c r="J15" s="7" t="s">
        <v>941</v>
      </c>
      <c r="K15" s="7" t="n">
        <v>43</v>
      </c>
      <c r="L15" s="7" t="str">
        <f aca="false">IF(COUNTIFS(Papers!$AR$2:$AR$114,A15,Papers!$AQ$2:$AQ$114,"Introduces",Papers!$AO$2:$AO$114,"Include")&gt;0,"Yes","No")</f>
        <v>Yes</v>
      </c>
      <c r="M15" s="7" t="n">
        <f aca="false">COUNTIFS(Papers!$AR$2:$AR$114,A15,Papers!$AO$2:$AO$114,"Include")+COUNTIFS(Papers!$AS$2:$AS$114,A15,Papers!$AO$2:$AO$114,"Include")</f>
        <v>1</v>
      </c>
      <c r="N15" s="7" t="s">
        <v>2158</v>
      </c>
      <c r="O15" s="10"/>
      <c r="P15" s="13"/>
      <c r="Q15" s="13"/>
    </row>
    <row r="16" customFormat="false" ht="34.5" hidden="false" customHeight="true" outlineLevel="0" collapsed="false">
      <c r="A16" s="7" t="s">
        <v>1915</v>
      </c>
      <c r="B16" s="10" t="s">
        <v>1897</v>
      </c>
      <c r="C16" s="10" t="s">
        <v>23</v>
      </c>
      <c r="D16" s="10" t="s">
        <v>882</v>
      </c>
      <c r="E16" s="10" t="s">
        <v>229</v>
      </c>
      <c r="F16" s="7" t="s">
        <v>1903</v>
      </c>
      <c r="G16" s="7" t="s">
        <v>2159</v>
      </c>
      <c r="H16" s="10" t="n">
        <v>20495</v>
      </c>
      <c r="I16" s="7" t="str">
        <f aca="false">IF(H16="","Unknown",IF(H16&lt;200,"Yes","No"))</f>
        <v>No</v>
      </c>
      <c r="J16" s="7" t="s">
        <v>106</v>
      </c>
      <c r="K16" s="7" t="n">
        <v>100</v>
      </c>
      <c r="L16" s="7" t="str">
        <f aca="false">IF(COUNTIFS(Papers!$AR$2:$AR$114,A16,Papers!$AQ$2:$AQ$114,"Introduces",Papers!$AO$2:$AO$114,"Include")&gt;0,"Yes","No")</f>
        <v>Yes</v>
      </c>
      <c r="M16" s="7" t="n">
        <f aca="false">COUNTIFS(Papers!$AR$2:$AR$114,A16,Papers!$AO$2:$AO$114,"Include")+COUNTIFS(Papers!$AS$2:$AS$114,A16,Papers!$AO$2:$AO$114,"Include")</f>
        <v>1</v>
      </c>
      <c r="N16" s="7" t="s">
        <v>2160</v>
      </c>
      <c r="O16" s="10"/>
      <c r="P16" s="13"/>
      <c r="Q16" s="13"/>
    </row>
    <row r="17" customFormat="false" ht="23.25" hidden="false" customHeight="true" outlineLevel="0" collapsed="false">
      <c r="A17" s="7" t="s">
        <v>907</v>
      </c>
      <c r="B17" s="10" t="s">
        <v>2161</v>
      </c>
      <c r="C17" s="10" t="s">
        <v>23</v>
      </c>
      <c r="D17" s="10" t="s">
        <v>882</v>
      </c>
      <c r="E17" s="10" t="s">
        <v>229</v>
      </c>
      <c r="F17" s="7" t="s">
        <v>472</v>
      </c>
      <c r="G17" s="7" t="s">
        <v>2162</v>
      </c>
      <c r="H17" s="10" t="n">
        <v>20000</v>
      </c>
      <c r="I17" s="7" t="str">
        <f aca="false">IF(H17="","Unknown",IF(H17&lt;200,"Yes","No"))</f>
        <v>No</v>
      </c>
      <c r="J17" s="7" t="s">
        <v>106</v>
      </c>
      <c r="K17" s="7" t="n">
        <v>99</v>
      </c>
      <c r="L17" s="7" t="str">
        <f aca="false">IF(COUNTIFS(Papers!$AR$2:$AR$114,A17,Papers!$AQ$2:$AQ$114,"Introduces",Papers!$AO$2:$AO$114,"Include")&gt;0,"Yes","No")</f>
        <v>Yes</v>
      </c>
      <c r="M17" s="7" t="n">
        <f aca="false">COUNTIFS(Papers!$AR$2:$AR$114,A17,Papers!$AO$2:$AO$114,"Include")+COUNTIFS(Papers!$AS$2:$AS$114,A17,Papers!$AO$2:$AO$114,"Include")</f>
        <v>2</v>
      </c>
      <c r="N17" s="7" t="s">
        <v>2163</v>
      </c>
      <c r="O17" s="10"/>
      <c r="P17" s="13"/>
      <c r="Q17" s="13"/>
    </row>
    <row r="18" customFormat="false" ht="23.25" hidden="false" customHeight="true" outlineLevel="0" collapsed="false">
      <c r="A18" s="7" t="s">
        <v>147</v>
      </c>
      <c r="B18" s="10" t="s">
        <v>2164</v>
      </c>
      <c r="C18" s="10" t="s">
        <v>23</v>
      </c>
      <c r="D18" s="10" t="s">
        <v>142</v>
      </c>
      <c r="E18" s="10" t="s">
        <v>143</v>
      </c>
      <c r="F18" s="7" t="s">
        <v>699</v>
      </c>
      <c r="G18" s="7" t="s">
        <v>2165</v>
      </c>
      <c r="H18" s="10" t="n">
        <v>39284</v>
      </c>
      <c r="I18" s="7" t="str">
        <f aca="false">IF(H18="","Unknown",IF(H18&lt;200,"Yes","No"))</f>
        <v>No</v>
      </c>
      <c r="J18" s="7" t="s">
        <v>1243</v>
      </c>
      <c r="K18" s="7" t="n">
        <v>58</v>
      </c>
      <c r="L18" s="7" t="str">
        <f aca="false">IF(COUNTIFS(Papers!$AR$2:$AR$114,A18,Papers!$AQ$2:$AQ$114,"Introduces",Papers!$AO$2:$AO$114,"Include")&gt;0,"Yes","No")</f>
        <v>Yes</v>
      </c>
      <c r="M18" s="7" t="n">
        <f aca="false">COUNTIFS(Papers!$AR$2:$AR$114,A18,Papers!$AO$2:$AO$114,"Include")+COUNTIFS(Papers!$AS$2:$AS$114,A18,Papers!$AO$2:$AO$114,"Include")</f>
        <v>7</v>
      </c>
      <c r="N18" s="7" t="s">
        <v>2166</v>
      </c>
      <c r="O18" s="10"/>
      <c r="P18" s="13"/>
      <c r="Q18" s="13"/>
    </row>
    <row r="19" customFormat="false" ht="15" hidden="false" customHeight="true" outlineLevel="0" collapsed="false">
      <c r="A19" s="7" t="s">
        <v>1321</v>
      </c>
      <c r="B19" s="10" t="s">
        <v>2167</v>
      </c>
      <c r="C19" s="10" t="s">
        <v>23</v>
      </c>
      <c r="D19" s="10" t="s">
        <v>142</v>
      </c>
      <c r="E19" s="10" t="s">
        <v>143</v>
      </c>
      <c r="F19" s="7" t="s">
        <v>2110</v>
      </c>
      <c r="G19" s="7" t="s">
        <v>2168</v>
      </c>
      <c r="H19" s="10" t="n">
        <v>4309</v>
      </c>
      <c r="I19" s="7" t="str">
        <f aca="false">IF(H19="","Unknown",IF(H19&lt;200,"Yes","No"))</f>
        <v>No</v>
      </c>
      <c r="J19" s="7" t="s">
        <v>2110</v>
      </c>
      <c r="K19" s="7" t="n">
        <v>64</v>
      </c>
      <c r="L19" s="7" t="str">
        <f aca="false">IF(COUNTIFS(Papers!$AR$2:$AR$114,A19,Papers!$AQ$2:$AQ$114,"Introduces",Papers!$AO$2:$AO$114,"Include")&gt;0,"Yes","No")</f>
        <v>Yes</v>
      </c>
      <c r="M19" s="7" t="n">
        <f aca="false">COUNTIFS(Papers!$AR$2:$AR$114,A19,Papers!$AO$2:$AO$114,"Include")+COUNTIFS(Papers!$AS$2:$AS$114,A19,Papers!$AO$2:$AO$114,"Include")</f>
        <v>1</v>
      </c>
      <c r="N19" s="7" t="s">
        <v>2169</v>
      </c>
      <c r="O19" s="10"/>
      <c r="P19" s="13"/>
      <c r="Q19" s="13"/>
    </row>
    <row r="20" customFormat="false" ht="23.25" hidden="false" customHeight="true" outlineLevel="0" collapsed="false">
      <c r="A20" s="7" t="s">
        <v>1349</v>
      </c>
      <c r="B20" s="10" t="s">
        <v>2170</v>
      </c>
      <c r="C20" s="10" t="s">
        <v>23</v>
      </c>
      <c r="D20" s="10" t="s">
        <v>1326</v>
      </c>
      <c r="E20" s="10" t="s">
        <v>135</v>
      </c>
      <c r="F20" s="7" t="s">
        <v>723</v>
      </c>
      <c r="G20" s="7" t="s">
        <v>2171</v>
      </c>
      <c r="H20" s="10" t="n">
        <v>4374</v>
      </c>
      <c r="I20" s="7" t="str">
        <f aca="false">IF(H20="","Unknown",IF(H20&lt;200,"Yes","No"))</f>
        <v>No</v>
      </c>
      <c r="J20" s="7" t="s">
        <v>1342</v>
      </c>
      <c r="K20" s="7" t="n">
        <v>65</v>
      </c>
      <c r="L20" s="7" t="str">
        <f aca="false">IF(COUNTIFS(Papers!$AR$2:$AR$114,A20,Papers!$AQ$2:$AQ$114,"Introduces",Papers!$AO$2:$AO$114,"Include")&gt;0,"Yes","No")</f>
        <v>Yes</v>
      </c>
      <c r="M20" s="7" t="n">
        <f aca="false">COUNTIFS(Papers!$AR$2:$AR$114,A20,Papers!$AO$2:$AO$114,"Include")+COUNTIFS(Papers!$AS$2:$AS$114,A20,Papers!$AO$2:$AO$114,"Include")</f>
        <v>2</v>
      </c>
      <c r="N20" s="7" t="s">
        <v>2172</v>
      </c>
      <c r="O20" s="10"/>
      <c r="P20" s="13"/>
      <c r="Q20" s="13"/>
    </row>
    <row r="21" customFormat="false" ht="23.25" hidden="false" customHeight="true" outlineLevel="0" collapsed="false">
      <c r="A21" s="7" t="s">
        <v>583</v>
      </c>
      <c r="B21" s="10" t="s">
        <v>1254</v>
      </c>
      <c r="C21" s="10" t="s">
        <v>23</v>
      </c>
      <c r="D21" s="10" t="s">
        <v>563</v>
      </c>
      <c r="E21" s="10" t="s">
        <v>126</v>
      </c>
      <c r="F21" s="7" t="s">
        <v>472</v>
      </c>
      <c r="G21" s="7" t="s">
        <v>2173</v>
      </c>
      <c r="H21" s="10" t="n">
        <v>4086</v>
      </c>
      <c r="I21" s="7" t="str">
        <f aca="false">IF(H21="","Unknown",IF(H21&lt;200,"Yes","No"))</f>
        <v>No</v>
      </c>
      <c r="J21" s="7" t="s">
        <v>577</v>
      </c>
      <c r="K21" s="7" t="n">
        <v>25</v>
      </c>
      <c r="L21" s="7" t="str">
        <f aca="false">IF(COUNTIFS(Papers!$AR$2:$AR$114,A21,Papers!$AQ$2:$AQ$114,"Introduces",Papers!$AO$2:$AO$114,"Include")&gt;0,"Yes","No")</f>
        <v>Yes</v>
      </c>
      <c r="M21" s="7" t="n">
        <f aca="false">COUNTIFS(Papers!$AR$2:$AR$114,A21,Papers!$AO$2:$AO$114,"Include")+COUNTIFS(Papers!$AS$2:$AS$114,A21,Papers!$AO$2:$AO$114,"Include")</f>
        <v>5</v>
      </c>
      <c r="N21" s="7" t="s">
        <v>2174</v>
      </c>
      <c r="O21" s="10"/>
      <c r="P21" s="13"/>
      <c r="Q21" s="13"/>
    </row>
    <row r="22" customFormat="false" ht="23.25" hidden="false" customHeight="true" outlineLevel="0" collapsed="false">
      <c r="A22" s="7" t="s">
        <v>1948</v>
      </c>
      <c r="B22" s="10" t="s">
        <v>1944</v>
      </c>
      <c r="C22" s="10" t="s">
        <v>23</v>
      </c>
      <c r="D22" s="10" t="s">
        <v>2175</v>
      </c>
      <c r="E22" s="10" t="s">
        <v>135</v>
      </c>
      <c r="F22" s="7" t="s">
        <v>106</v>
      </c>
      <c r="G22" s="7" t="s">
        <v>2110</v>
      </c>
      <c r="H22" s="10"/>
      <c r="I22" s="7" t="str">
        <f aca="false">IF(H22="","Unknown",IF(H22&lt;200,"Yes","No"))</f>
        <v>Unknown</v>
      </c>
      <c r="J22" s="7" t="s">
        <v>106</v>
      </c>
      <c r="K22" s="7" t="n">
        <v>103</v>
      </c>
      <c r="L22" s="7" t="str">
        <f aca="false">IF(COUNTIFS(Papers!$AR$2:$AR$114,A22,Papers!$AQ$2:$AQ$114,"Introduces",Papers!$AO$2:$AO$114,"Include")&gt;0,"Yes","No")</f>
        <v>Yes</v>
      </c>
      <c r="M22" s="7" t="n">
        <f aca="false">COUNTIFS(Papers!$AR$2:$AR$114,A22,Papers!$AO$2:$AO$114,"Include")+COUNTIFS(Papers!$AS$2:$AS$114,A22,Papers!$AO$2:$AO$114,"Include")</f>
        <v>1</v>
      </c>
      <c r="N22" s="7" t="s">
        <v>2176</v>
      </c>
      <c r="O22" s="10"/>
      <c r="P22" s="13"/>
      <c r="Q22" s="13"/>
    </row>
    <row r="23" customFormat="false" ht="15" hidden="false" customHeight="true" outlineLevel="0" collapsed="false">
      <c r="A23" s="7" t="s">
        <v>508</v>
      </c>
      <c r="B23" s="10" t="s">
        <v>493</v>
      </c>
      <c r="C23" s="10" t="s">
        <v>23</v>
      </c>
      <c r="D23" s="10" t="s">
        <v>2175</v>
      </c>
      <c r="E23" s="10" t="s">
        <v>135</v>
      </c>
      <c r="F23" s="7" t="s">
        <v>472</v>
      </c>
      <c r="G23" s="7" t="s">
        <v>2177</v>
      </c>
      <c r="H23" s="10" t="n">
        <v>150</v>
      </c>
      <c r="I23" s="7" t="str">
        <f aca="false">IF(H23="","Unknown",IF(H23&lt;200,"Yes","No"))</f>
        <v>Yes</v>
      </c>
      <c r="J23" s="7" t="s">
        <v>503</v>
      </c>
      <c r="K23" s="7" t="n">
        <v>22</v>
      </c>
      <c r="L23" s="7" t="str">
        <f aca="false">IF(COUNTIFS(Papers!$AR$2:$AR$114,A23,Papers!$AQ$2:$AQ$114,"Introduces",Papers!$AO$2:$AO$114,"Include")&gt;0,"Yes","No")</f>
        <v>Yes</v>
      </c>
      <c r="M23" s="7" t="n">
        <f aca="false">COUNTIFS(Papers!$AR$2:$AR$114,A23,Papers!$AO$2:$AO$114,"Include")+COUNTIFS(Papers!$AS$2:$AS$114,A23,Papers!$AO$2:$AO$114,"Include")</f>
        <v>1</v>
      </c>
      <c r="N23" s="7" t="s">
        <v>2178</v>
      </c>
      <c r="O23" s="10"/>
      <c r="P23" s="13"/>
      <c r="Q23" s="13"/>
    </row>
    <row r="24" customFormat="false" ht="15" hidden="false" customHeight="true" outlineLevel="0" collapsed="false">
      <c r="A24" s="7" t="s">
        <v>1147</v>
      </c>
      <c r="B24" s="10" t="s">
        <v>2179</v>
      </c>
      <c r="C24" s="10" t="s">
        <v>23</v>
      </c>
      <c r="D24" s="10" t="s">
        <v>1129</v>
      </c>
      <c r="E24" s="10" t="s">
        <v>135</v>
      </c>
      <c r="F24" s="7" t="s">
        <v>472</v>
      </c>
      <c r="G24" s="7" t="s">
        <v>2180</v>
      </c>
      <c r="H24" s="10" t="n">
        <v>2851</v>
      </c>
      <c r="I24" s="7" t="str">
        <f aca="false">IF(H24="","Unknown",IF(H24&lt;200,"Yes","No"))</f>
        <v>No</v>
      </c>
      <c r="J24" s="7" t="s">
        <v>106</v>
      </c>
      <c r="K24" s="7" t="n">
        <v>101</v>
      </c>
      <c r="L24" s="7" t="str">
        <f aca="false">IF(COUNTIFS(Papers!$AR$2:$AR$114,A24,Papers!$AQ$2:$AQ$114,"Introduces",Papers!$AO$2:$AO$114,"Include")&gt;0,"Yes","No")</f>
        <v>Yes</v>
      </c>
      <c r="M24" s="7" t="n">
        <f aca="false">COUNTIFS(Papers!$AR$2:$AR$114,A24,Papers!$AO$2:$AO$114,"Include")+COUNTIFS(Papers!$AS$2:$AS$114,A24,Papers!$AO$2:$AO$114,"Include")</f>
        <v>2</v>
      </c>
      <c r="N24" s="7" t="s">
        <v>2181</v>
      </c>
      <c r="O24" s="10"/>
      <c r="P24" s="13"/>
      <c r="Q24" s="13"/>
    </row>
    <row r="25" customFormat="false" ht="15" hidden="false" customHeight="true" outlineLevel="0" collapsed="false">
      <c r="A25" s="7" t="s">
        <v>136</v>
      </c>
      <c r="B25" s="10" t="s">
        <v>2182</v>
      </c>
      <c r="C25" s="10" t="s">
        <v>23</v>
      </c>
      <c r="D25" s="10" t="s">
        <v>134</v>
      </c>
      <c r="E25" s="10" t="s">
        <v>135</v>
      </c>
      <c r="F25" s="7" t="s">
        <v>2110</v>
      </c>
      <c r="G25" s="7" t="s">
        <v>2110</v>
      </c>
      <c r="H25" s="10"/>
      <c r="I25" s="7" t="str">
        <f aca="false">IF(H25="","Unknown",IF(H25&lt;200,"Yes","No"))</f>
        <v>Unknown</v>
      </c>
      <c r="J25" s="7" t="s">
        <v>2110</v>
      </c>
      <c r="K25" s="7" t="n">
        <v>4</v>
      </c>
      <c r="L25" s="7" t="str">
        <f aca="false">IF(COUNTIFS(Papers!$AR$2:$AR$114,A25,Papers!$AQ$2:$AQ$114,"Introduces",Papers!$AO$2:$AO$114,"Include")&gt;0,"Yes","No")</f>
        <v>Yes</v>
      </c>
      <c r="M25" s="7" t="n">
        <f aca="false">COUNTIFS(Papers!$AR$2:$AR$114,A25,Papers!$AO$2:$AO$114,"Include")+COUNTIFS(Papers!$AS$2:$AS$114,A25,Papers!$AO$2:$AO$114,"Include")</f>
        <v>2</v>
      </c>
      <c r="N25" s="7" t="s">
        <v>2183</v>
      </c>
      <c r="O25" s="10"/>
      <c r="P25" s="13"/>
      <c r="Q25" s="13"/>
    </row>
    <row r="26" customFormat="false" ht="23.25" hidden="false" customHeight="true" outlineLevel="0" collapsed="false">
      <c r="A26" s="7" t="s">
        <v>1940</v>
      </c>
      <c r="B26" s="10" t="s">
        <v>2184</v>
      </c>
      <c r="C26" s="10" t="s">
        <v>23</v>
      </c>
      <c r="D26" s="10" t="s">
        <v>134</v>
      </c>
      <c r="E26" s="10" t="s">
        <v>135</v>
      </c>
      <c r="F26" s="7" t="s">
        <v>472</v>
      </c>
      <c r="G26" s="7" t="s">
        <v>2110</v>
      </c>
      <c r="H26" s="10"/>
      <c r="I26" s="7" t="str">
        <f aca="false">IF(H26="","Unknown",IF(H26&lt;200,"Yes","No"))</f>
        <v>Unknown</v>
      </c>
      <c r="J26" s="7" t="s">
        <v>106</v>
      </c>
      <c r="K26" s="7" t="n">
        <v>102</v>
      </c>
      <c r="L26" s="7" t="str">
        <f aca="false">IF(COUNTIFS(Papers!$AR$2:$AR$114,A26,Papers!$AQ$2:$AQ$114,"Introduces",Papers!$AO$2:$AO$114,"Include")&gt;0,"Yes","No")</f>
        <v>No</v>
      </c>
      <c r="M26" s="7" t="n">
        <f aca="false">COUNTIFS(Papers!$AR$2:$AR$114,A26,Papers!$AO$2:$AO$114,"Include")+COUNTIFS(Papers!$AS$2:$AS$114,A26,Papers!$AO$2:$AO$114,"Include")</f>
        <v>1</v>
      </c>
      <c r="N26" s="7" t="s">
        <v>2123</v>
      </c>
      <c r="O26" s="10" t="s">
        <v>2185</v>
      </c>
      <c r="P26" s="13"/>
      <c r="Q26" s="13"/>
    </row>
    <row r="27" customFormat="false" ht="15" hidden="false" customHeight="true" outlineLevel="0" collapsed="false">
      <c r="A27" s="7" t="s">
        <v>1440</v>
      </c>
      <c r="B27" s="10" t="s">
        <v>2186</v>
      </c>
      <c r="C27" s="10" t="s">
        <v>23</v>
      </c>
      <c r="D27" s="10" t="s">
        <v>1418</v>
      </c>
      <c r="E27" s="10" t="s">
        <v>135</v>
      </c>
      <c r="F27" s="7" t="s">
        <v>472</v>
      </c>
      <c r="G27" s="7" t="s">
        <v>2187</v>
      </c>
      <c r="H27" s="10" t="n">
        <v>5490</v>
      </c>
      <c r="I27" s="7" t="str">
        <f aca="false">IF(H27="","Unknown",IF(H27&lt;200,"Yes","No"))</f>
        <v>No</v>
      </c>
      <c r="J27" s="7" t="s">
        <v>1432</v>
      </c>
      <c r="K27" s="7" t="n">
        <v>70</v>
      </c>
      <c r="L27" s="7" t="str">
        <f aca="false">IF(COUNTIFS(Papers!$AR$2:$AR$114,A27,Papers!$AQ$2:$AQ$114,"Introduces",Papers!$AO$2:$AO$114,"Include")&gt;0,"Yes","No")</f>
        <v>Yes</v>
      </c>
      <c r="M27" s="7" t="n">
        <f aca="false">COUNTIFS(Papers!$AR$2:$AR$114,A27,Papers!$AO$2:$AO$114,"Include")+COUNTIFS(Papers!$AS$2:$AS$114,A27,Papers!$AO$2:$AO$114,"Include")</f>
        <v>1</v>
      </c>
      <c r="N27" s="7" t="s">
        <v>2188</v>
      </c>
      <c r="O27" s="10"/>
      <c r="P27" s="13"/>
      <c r="Q27" s="13"/>
    </row>
    <row r="28" customFormat="false" ht="23.25" hidden="false" customHeight="true" outlineLevel="0" collapsed="false">
      <c r="A28" s="7" t="s">
        <v>2047</v>
      </c>
      <c r="B28" s="10" t="s">
        <v>2189</v>
      </c>
      <c r="C28" s="10" t="s">
        <v>23</v>
      </c>
      <c r="D28" s="10" t="s">
        <v>1418</v>
      </c>
      <c r="E28" s="10" t="s">
        <v>135</v>
      </c>
      <c r="F28" s="7" t="s">
        <v>188</v>
      </c>
      <c r="G28" s="7" t="s">
        <v>2190</v>
      </c>
      <c r="H28" s="10" t="n">
        <v>2200</v>
      </c>
      <c r="I28" s="7" t="str">
        <f aca="false">IF(H28="","Unknown",IF(H28&lt;200,"Yes","No"))</f>
        <v>No</v>
      </c>
      <c r="J28" s="7" t="s">
        <v>106</v>
      </c>
      <c r="K28" s="7" t="n">
        <v>110</v>
      </c>
      <c r="L28" s="7" t="str">
        <f aca="false">IF(COUNTIFS(Papers!$AR$2:$AR$114,A28,Papers!$AQ$2:$AQ$114,"Introduces",Papers!$AO$2:$AO$114,"Include")&gt;0,"Yes","No")</f>
        <v>Yes</v>
      </c>
      <c r="M28" s="7" t="n">
        <f aca="false">COUNTIFS(Papers!$AR$2:$AR$114,A28,Papers!$AO$2:$AO$114,"Include")+COUNTIFS(Papers!$AS$2:$AS$114,A28,Papers!$AO$2:$AO$114,"Include")</f>
        <v>2</v>
      </c>
      <c r="N28" s="7" t="s">
        <v>2191</v>
      </c>
      <c r="O28" s="10"/>
      <c r="P28" s="13"/>
      <c r="Q28" s="13"/>
    </row>
    <row r="29" customFormat="false" ht="23.25" hidden="false" customHeight="true" outlineLevel="0" collapsed="false">
      <c r="A29" s="7" t="s">
        <v>635</v>
      </c>
      <c r="B29" s="10" t="s">
        <v>618</v>
      </c>
      <c r="C29" s="10" t="s">
        <v>23</v>
      </c>
      <c r="D29" s="10" t="s">
        <v>619</v>
      </c>
      <c r="E29" s="10" t="s">
        <v>126</v>
      </c>
      <c r="F29" s="7" t="s">
        <v>350</v>
      </c>
      <c r="G29" s="7" t="s">
        <v>2192</v>
      </c>
      <c r="H29" s="10" t="n">
        <v>1601</v>
      </c>
      <c r="I29" s="7" t="str">
        <f aca="false">IF(H29="","Unknown",IF(H29&lt;200,"Yes","No"))</f>
        <v>No</v>
      </c>
      <c r="J29" s="7" t="s">
        <v>630</v>
      </c>
      <c r="K29" s="7" t="n">
        <v>27</v>
      </c>
      <c r="L29" s="7" t="str">
        <f aca="false">IF(COUNTIFS(Papers!$AR$2:$AR$114,A29,Papers!$AQ$2:$AQ$114,"Introduces",Papers!$AO$2:$AO$114,"Include")&gt;0,"Yes","No")</f>
        <v>Yes</v>
      </c>
      <c r="M29" s="7" t="n">
        <f aca="false">COUNTIFS(Papers!$AR$2:$AR$114,A29,Papers!$AO$2:$AO$114,"Include")+COUNTIFS(Papers!$AS$2:$AS$114,A29,Papers!$AO$2:$AO$114,"Include")</f>
        <v>1</v>
      </c>
      <c r="N29" s="7" t="s">
        <v>2193</v>
      </c>
      <c r="O29" s="10"/>
      <c r="P29" s="13"/>
      <c r="Q29" s="13"/>
    </row>
    <row r="30" customFormat="false" ht="23.25" hidden="false" customHeight="true" outlineLevel="0" collapsed="false">
      <c r="A30" s="7" t="s">
        <v>1802</v>
      </c>
      <c r="B30" s="10" t="s">
        <v>2194</v>
      </c>
      <c r="C30" s="10" t="s">
        <v>23</v>
      </c>
      <c r="D30" s="10" t="s">
        <v>588</v>
      </c>
      <c r="E30" s="10" t="s">
        <v>135</v>
      </c>
      <c r="F30" s="7" t="s">
        <v>1784</v>
      </c>
      <c r="G30" s="7" t="s">
        <v>2195</v>
      </c>
      <c r="H30" s="10" t="n">
        <v>9993</v>
      </c>
      <c r="I30" s="7" t="str">
        <f aca="false">IF(H30="","Unknown",IF(H30&lt;200,"Yes","No"))</f>
        <v>No</v>
      </c>
      <c r="J30" s="7" t="s">
        <v>1795</v>
      </c>
      <c r="K30" s="7" t="n">
        <v>90</v>
      </c>
      <c r="L30" s="7" t="str">
        <f aca="false">IF(COUNTIFS(Papers!$AR$2:$AR$114,A30,Papers!$AQ$2:$AQ$114,"Introduces",Papers!$AO$2:$AO$114,"Include")&gt;0,"Yes","No")</f>
        <v>No</v>
      </c>
      <c r="M30" s="7" t="n">
        <f aca="false">COUNTIFS(Papers!$AR$2:$AR$114,A30,Papers!$AO$2:$AO$114,"Include")+COUNTIFS(Papers!$AS$2:$AS$114,A30,Papers!$AO$2:$AO$114,"Include")</f>
        <v>1</v>
      </c>
      <c r="N30" s="7" t="s">
        <v>2123</v>
      </c>
      <c r="O30" s="10"/>
      <c r="P30" s="13"/>
      <c r="Q30" s="13"/>
    </row>
    <row r="31" customFormat="false" ht="23.25" hidden="false" customHeight="true" outlineLevel="0" collapsed="false">
      <c r="A31" s="7" t="s">
        <v>330</v>
      </c>
      <c r="B31" s="10" t="s">
        <v>2196</v>
      </c>
      <c r="C31" s="10" t="s">
        <v>23</v>
      </c>
      <c r="D31" s="10" t="s">
        <v>301</v>
      </c>
      <c r="E31" s="10" t="s">
        <v>126</v>
      </c>
      <c r="F31" s="7" t="s">
        <v>307</v>
      </c>
      <c r="G31" s="7" t="s">
        <v>2110</v>
      </c>
      <c r="H31" s="10"/>
      <c r="I31" s="7" t="str">
        <f aca="false">IF(H31="","Unknown",IF(H31&lt;200,"Yes","No"))</f>
        <v>Unknown</v>
      </c>
      <c r="J31" s="7" t="s">
        <v>321</v>
      </c>
      <c r="K31" s="7" t="n">
        <v>13</v>
      </c>
      <c r="L31" s="7" t="str">
        <f aca="false">IF(COUNTIFS(Papers!$AR$2:$AR$114,A31,Papers!$AQ$2:$AQ$114,"Introduces",Papers!$AO$2:$AO$114,"Include")&gt;0,"Yes","No")</f>
        <v>No</v>
      </c>
      <c r="M31" s="7" t="n">
        <f aca="false">COUNTIFS(Papers!$AR$2:$AR$114,A31,Papers!$AO$2:$AO$114,"Include")+COUNTIFS(Papers!$AS$2:$AS$114,A31,Papers!$AO$2:$AO$114,"Include")</f>
        <v>2</v>
      </c>
      <c r="N31" s="7" t="s">
        <v>2123</v>
      </c>
      <c r="O31" s="10" t="s">
        <v>2197</v>
      </c>
      <c r="P31" s="13"/>
      <c r="Q31" s="13"/>
    </row>
    <row r="32" customFormat="false" ht="23.25" hidden="false" customHeight="true" outlineLevel="0" collapsed="false">
      <c r="A32" s="7" t="s">
        <v>251</v>
      </c>
      <c r="B32" s="10" t="s">
        <v>2198</v>
      </c>
      <c r="C32" s="10" t="s">
        <v>23</v>
      </c>
      <c r="D32" s="10" t="s">
        <v>228</v>
      </c>
      <c r="E32" s="10" t="s">
        <v>229</v>
      </c>
      <c r="F32" s="7" t="s">
        <v>235</v>
      </c>
      <c r="G32" s="7" t="s">
        <v>2199</v>
      </c>
      <c r="H32" s="10" t="n">
        <v>11246</v>
      </c>
      <c r="I32" s="7" t="str">
        <f aca="false">IF(H32="","Unknown",IF(H32&lt;200,"Yes","No"))</f>
        <v>No</v>
      </c>
      <c r="J32" s="7" t="s">
        <v>245</v>
      </c>
      <c r="K32" s="7" t="n">
        <v>9</v>
      </c>
      <c r="L32" s="7" t="str">
        <f aca="false">IF(COUNTIFS(Papers!$AR$2:$AR$114,A32,Papers!$AQ$2:$AQ$114,"Introduces",Papers!$AO$2:$AO$114,"Include")&gt;0,"Yes","No")</f>
        <v>Yes</v>
      </c>
      <c r="M32" s="7" t="n">
        <f aca="false">COUNTIFS(Papers!$AR$2:$AR$114,A32,Papers!$AO$2:$AO$114,"Include")+COUNTIFS(Papers!$AS$2:$AS$114,A32,Papers!$AO$2:$AO$114,"Include")</f>
        <v>3</v>
      </c>
      <c r="N32" s="7" t="s">
        <v>2200</v>
      </c>
      <c r="O32" s="10"/>
      <c r="P32" s="13"/>
      <c r="Q32" s="13"/>
    </row>
    <row r="33" customFormat="false" ht="15" hidden="false" customHeight="true" outlineLevel="0" collapsed="false">
      <c r="A33" s="7" t="s">
        <v>2028</v>
      </c>
      <c r="B33" s="10" t="s">
        <v>2016</v>
      </c>
      <c r="C33" s="10" t="s">
        <v>23</v>
      </c>
      <c r="D33" s="10" t="s">
        <v>2201</v>
      </c>
      <c r="E33" s="10" t="s">
        <v>135</v>
      </c>
      <c r="F33" s="7" t="s">
        <v>472</v>
      </c>
      <c r="G33" s="7" t="s">
        <v>2110</v>
      </c>
      <c r="H33" s="10"/>
      <c r="I33" s="7" t="str">
        <f aca="false">IF(H33="","Unknown",IF(H33&lt;200,"Yes","No"))</f>
        <v>Unknown</v>
      </c>
      <c r="J33" s="7" t="s">
        <v>106</v>
      </c>
      <c r="K33" s="7" t="n">
        <v>109</v>
      </c>
      <c r="L33" s="7" t="str">
        <f aca="false">IF(COUNTIFS(Papers!$AR$2:$AR$114,A33,Papers!$AQ$2:$AQ$114,"Introduces",Papers!$AO$2:$AO$114,"Include")&gt;0,"Yes","No")</f>
        <v>Yes</v>
      </c>
      <c r="M33" s="7" t="n">
        <f aca="false">COUNTIFS(Papers!$AR$2:$AR$114,A33,Papers!$AO$2:$AO$114,"Include")+COUNTIFS(Papers!$AS$2:$AS$114,A33,Papers!$AO$2:$AO$114,"Include")</f>
        <v>1</v>
      </c>
      <c r="N33" s="7" t="s">
        <v>2202</v>
      </c>
      <c r="O33" s="10"/>
      <c r="P33" s="13"/>
      <c r="Q33" s="13"/>
    </row>
    <row r="34" customFormat="false" ht="23.25" hidden="false" customHeight="true" outlineLevel="0" collapsed="false">
      <c r="A34" s="7" t="s">
        <v>408</v>
      </c>
      <c r="B34" s="10" t="s">
        <v>1576</v>
      </c>
      <c r="C34" s="10" t="s">
        <v>23</v>
      </c>
      <c r="D34" s="10" t="s">
        <v>2203</v>
      </c>
      <c r="E34" s="10" t="s">
        <v>467</v>
      </c>
      <c r="F34" s="7" t="s">
        <v>188</v>
      </c>
      <c r="G34" s="7" t="s">
        <v>2204</v>
      </c>
      <c r="H34" s="10" t="n">
        <v>83876</v>
      </c>
      <c r="I34" s="7" t="str">
        <f aca="false">IF(H34="","Unknown",IF(H34&lt;200,"Yes","No"))</f>
        <v>No</v>
      </c>
      <c r="J34" s="7" t="s">
        <v>106</v>
      </c>
      <c r="K34" s="7" t="n">
        <v>98</v>
      </c>
      <c r="L34" s="7" t="str">
        <f aca="false">IF(COUNTIFS(Papers!$AR$2:$AR$114,A34,Papers!$AQ$2:$AQ$114,"Introduces",Papers!$AO$2:$AO$114,"Include")&gt;0,"Yes","No")</f>
        <v>No</v>
      </c>
      <c r="M34" s="7" t="n">
        <f aca="false">COUNTIFS(Papers!$AR$2:$AR$114,A34,Papers!$AO$2:$AO$114,"Include")+COUNTIFS(Papers!$AS$2:$AS$114,A34,Papers!$AO$2:$AO$114,"Include")</f>
        <v>5</v>
      </c>
      <c r="N34" s="7" t="s">
        <v>2123</v>
      </c>
      <c r="O34" s="10" t="s">
        <v>2205</v>
      </c>
      <c r="P34" s="13"/>
      <c r="Q34" s="13"/>
    </row>
    <row r="35" customFormat="false" ht="15" hidden="false" customHeight="true" outlineLevel="0" collapsed="false">
      <c r="A35" s="7" t="s">
        <v>129</v>
      </c>
      <c r="B35" s="10" t="s">
        <v>2206</v>
      </c>
      <c r="C35" s="10" t="s">
        <v>23</v>
      </c>
      <c r="D35" s="10" t="s">
        <v>2203</v>
      </c>
      <c r="E35" s="10" t="s">
        <v>467</v>
      </c>
      <c r="F35" s="7" t="s">
        <v>472</v>
      </c>
      <c r="G35" s="7" t="s">
        <v>2207</v>
      </c>
      <c r="H35" s="10" t="n">
        <v>14574</v>
      </c>
      <c r="I35" s="7" t="str">
        <f aca="false">IF(H35="","Unknown",IF(H35&lt;200,"Yes","No"))</f>
        <v>No</v>
      </c>
      <c r="J35" s="7" t="s">
        <v>484</v>
      </c>
      <c r="K35" s="7" t="n">
        <v>21</v>
      </c>
      <c r="L35" s="7" t="str">
        <f aca="false">IF(COUNTIFS(Papers!$AR$2:$AR$114,A35,Papers!$AQ$2:$AQ$114,"Introduces",Papers!$AO$2:$AO$114,"Include")&gt;0,"Yes","No")</f>
        <v>No</v>
      </c>
      <c r="M35" s="7" t="n">
        <f aca="false">COUNTIFS(Papers!$AR$2:$AR$114,A35,Papers!$AO$2:$AO$114,"Include")+COUNTIFS(Papers!$AS$2:$AS$114,A35,Papers!$AO$2:$AO$114,"Include")</f>
        <v>2</v>
      </c>
      <c r="N35" s="7" t="s">
        <v>2123</v>
      </c>
      <c r="O35" s="10"/>
      <c r="P35" s="13"/>
      <c r="Q35" s="13"/>
    </row>
    <row r="36" customFormat="false" ht="23.25" hidden="false" customHeight="true" outlineLevel="0" collapsed="false">
      <c r="A36" s="7" t="s">
        <v>792</v>
      </c>
      <c r="B36" s="10" t="s">
        <v>2208</v>
      </c>
      <c r="C36" s="10" t="s">
        <v>24</v>
      </c>
      <c r="D36" s="10" t="s">
        <v>882</v>
      </c>
      <c r="E36" s="10" t="s">
        <v>229</v>
      </c>
      <c r="F36" s="7" t="s">
        <v>188</v>
      </c>
      <c r="G36" s="7" t="s">
        <v>2209</v>
      </c>
      <c r="H36" s="10" t="n">
        <v>1878</v>
      </c>
      <c r="I36" s="7" t="str">
        <f aca="false">IF(H36="","Unknown",IF(H36&lt;200,"Yes","No"))</f>
        <v>No</v>
      </c>
      <c r="J36" s="7" t="s">
        <v>786</v>
      </c>
      <c r="K36" s="7" t="n">
        <v>35</v>
      </c>
      <c r="L36" s="7" t="str">
        <f aca="false">IF(COUNTIFS(Papers!$AR$2:$AR$114,A36,Papers!$AQ$2:$AQ$114,"Introduces",Papers!$AO$2:$AO$114,"Include")&gt;0,"Yes","No")</f>
        <v>Yes</v>
      </c>
      <c r="M36" s="7" t="n">
        <f aca="false">COUNTIFS(Papers!$AR$2:$AR$114,A36,Papers!$AO$2:$AO$114,"Include")+COUNTIFS(Papers!$AS$2:$AS$114,A36,Papers!$AO$2:$AO$114,"Include")</f>
        <v>1</v>
      </c>
      <c r="N36" s="7" t="s">
        <v>2210</v>
      </c>
      <c r="O36" s="10"/>
      <c r="P36" s="13" t="n">
        <v>149.5</v>
      </c>
      <c r="Q36" s="13" t="n">
        <v>-29.5</v>
      </c>
    </row>
    <row r="37" customFormat="false" ht="15" hidden="false" customHeight="true" outlineLevel="0" collapsed="false">
      <c r="A37" s="7" t="s">
        <v>762</v>
      </c>
      <c r="B37" s="10" t="s">
        <v>2211</v>
      </c>
      <c r="C37" s="10" t="s">
        <v>24</v>
      </c>
      <c r="D37" s="10" t="s">
        <v>882</v>
      </c>
      <c r="E37" s="10" t="s">
        <v>229</v>
      </c>
      <c r="F37" s="7" t="s">
        <v>2110</v>
      </c>
      <c r="G37" s="7" t="s">
        <v>2212</v>
      </c>
      <c r="H37" s="10" t="n">
        <v>1867</v>
      </c>
      <c r="I37" s="7" t="str">
        <f aca="false">IF(H37="","Unknown",IF(H37&lt;200,"Yes","No"))</f>
        <v>No</v>
      </c>
      <c r="J37" s="7" t="s">
        <v>2110</v>
      </c>
      <c r="K37" s="7" t="n">
        <v>34</v>
      </c>
      <c r="L37" s="7" t="str">
        <f aca="false">IF(COUNTIFS(Papers!$AR$2:$AR$114,A37,Papers!$AQ$2:$AQ$114,"Introduces",Papers!$AO$2:$AO$114,"Include")&gt;0,"Yes","No")</f>
        <v>No</v>
      </c>
      <c r="M37" s="7" t="n">
        <f aca="false">COUNTIFS(Papers!$AR$2:$AR$114,A37,Papers!$AO$2:$AO$114,"Include")+COUNTIFS(Papers!$AS$2:$AS$114,A37,Papers!$AO$2:$AO$114,"Include")</f>
        <v>1</v>
      </c>
      <c r="N37" s="7" t="s">
        <v>2123</v>
      </c>
      <c r="O37" s="10"/>
      <c r="P37" s="13" t="n">
        <v>147</v>
      </c>
      <c r="Q37" s="13" t="n">
        <v>-32.5</v>
      </c>
    </row>
    <row r="38" customFormat="false" ht="23.25" hidden="false" customHeight="true" outlineLevel="0" collapsed="false">
      <c r="A38" s="7" t="s">
        <v>1738</v>
      </c>
      <c r="B38" s="10" t="s">
        <v>2213</v>
      </c>
      <c r="C38" s="10" t="s">
        <v>24</v>
      </c>
      <c r="D38" s="10" t="s">
        <v>142</v>
      </c>
      <c r="E38" s="10" t="s">
        <v>143</v>
      </c>
      <c r="F38" s="7" t="s">
        <v>1722</v>
      </c>
      <c r="G38" s="7" t="s">
        <v>2214</v>
      </c>
      <c r="H38" s="10" t="n">
        <v>9000</v>
      </c>
      <c r="I38" s="7" t="str">
        <f aca="false">IF(H38="","Unknown",IF(H38&lt;200,"Yes","No"))</f>
        <v>No</v>
      </c>
      <c r="J38" s="7" t="s">
        <v>1733</v>
      </c>
      <c r="K38" s="7" t="n">
        <v>86</v>
      </c>
      <c r="L38" s="7" t="str">
        <f aca="false">IF(COUNTIFS(Papers!$AR$2:$AR$114,A38,Papers!$AQ$2:$AQ$114,"Introduces",Papers!$AO$2:$AO$114,"Include")&gt;0,"Yes","No")</f>
        <v>Yes</v>
      </c>
      <c r="M38" s="7" t="n">
        <f aca="false">COUNTIFS(Papers!$AR$2:$AR$114,A38,Papers!$AO$2:$AO$114,"Include")+COUNTIFS(Papers!$AS$2:$AS$114,A38,Papers!$AO$2:$AO$114,"Include")</f>
        <v>1</v>
      </c>
      <c r="N38" s="7" t="s">
        <v>2215</v>
      </c>
      <c r="O38" s="10"/>
      <c r="P38" s="13"/>
      <c r="Q38" s="13"/>
    </row>
    <row r="39" customFormat="false" ht="15" hidden="false" customHeight="true" outlineLevel="0" collapsed="false">
      <c r="A39" s="7" t="s">
        <v>1053</v>
      </c>
      <c r="B39" s="10" t="s">
        <v>2216</v>
      </c>
      <c r="C39" s="10" t="s">
        <v>24</v>
      </c>
      <c r="D39" s="10" t="s">
        <v>142</v>
      </c>
      <c r="E39" s="10" t="s">
        <v>143</v>
      </c>
      <c r="F39" s="7" t="s">
        <v>2110</v>
      </c>
      <c r="G39" s="7" t="s">
        <v>2217</v>
      </c>
      <c r="H39" s="10" t="n">
        <v>262</v>
      </c>
      <c r="I39" s="7" t="str">
        <f aca="false">IF(H39="","Unknown",IF(H39&lt;200,"Yes","No"))</f>
        <v>No</v>
      </c>
      <c r="J39" s="7" t="s">
        <v>2110</v>
      </c>
      <c r="K39" s="7" t="n">
        <v>49</v>
      </c>
      <c r="L39" s="7" t="str">
        <f aca="false">IF(COUNTIFS(Papers!$AR$2:$AR$114,A39,Papers!$AQ$2:$AQ$114,"Introduces",Papers!$AO$2:$AO$114,"Include")&gt;0,"Yes","No")</f>
        <v>Yes</v>
      </c>
      <c r="M39" s="7" t="n">
        <f aca="false">COUNTIFS(Papers!$AR$2:$AR$114,A39,Papers!$AO$2:$AO$114,"Include")+COUNTIFS(Papers!$AS$2:$AS$114,A39,Papers!$AO$2:$AO$114,"Include")</f>
        <v>1</v>
      </c>
      <c r="N39" s="7" t="s">
        <v>2218</v>
      </c>
      <c r="O39" s="10"/>
      <c r="P39" s="13" t="n">
        <v>-42.8</v>
      </c>
      <c r="Q39" s="13" t="n">
        <v>-7.5</v>
      </c>
    </row>
    <row r="40" customFormat="false" ht="23.25" hidden="false" customHeight="true" outlineLevel="0" collapsed="false">
      <c r="A40" s="7" t="s">
        <v>557</v>
      </c>
      <c r="B40" s="10" t="s">
        <v>2219</v>
      </c>
      <c r="C40" s="10" t="s">
        <v>24</v>
      </c>
      <c r="D40" s="10" t="s">
        <v>142</v>
      </c>
      <c r="E40" s="10" t="s">
        <v>143</v>
      </c>
      <c r="F40" s="7" t="s">
        <v>278</v>
      </c>
      <c r="G40" s="7" t="s">
        <v>2220</v>
      </c>
      <c r="H40" s="10" t="n">
        <v>1534</v>
      </c>
      <c r="I40" s="7" t="str">
        <f aca="false">IF(H40="","Unknown",IF(H40&lt;200,"Yes","No"))</f>
        <v>No</v>
      </c>
      <c r="J40" s="7" t="s">
        <v>551</v>
      </c>
      <c r="K40" s="7" t="n">
        <v>24</v>
      </c>
      <c r="L40" s="7" t="str">
        <f aca="false">IF(COUNTIFS(Papers!$AR$2:$AR$114,A40,Papers!$AQ$2:$AQ$114,"Introduces",Papers!$AO$2:$AO$114,"Include")&gt;0,"Yes","No")</f>
        <v>Yes</v>
      </c>
      <c r="M40" s="7" t="n">
        <f aca="false">COUNTIFS(Papers!$AR$2:$AR$114,A40,Papers!$AO$2:$AO$114,"Include")+COUNTIFS(Papers!$AS$2:$AS$114,A40,Papers!$AO$2:$AO$114,"Include")</f>
        <v>1</v>
      </c>
      <c r="N40" s="7" t="s">
        <v>2221</v>
      </c>
      <c r="O40" s="10" t="s">
        <v>2222</v>
      </c>
      <c r="P40" s="13" t="n">
        <v>-53.5</v>
      </c>
      <c r="Q40" s="13" t="n">
        <v>-29.5</v>
      </c>
    </row>
    <row r="41" customFormat="false" ht="23.25" hidden="false" customHeight="true" outlineLevel="0" collapsed="false">
      <c r="A41" s="7" t="s">
        <v>850</v>
      </c>
      <c r="B41" s="10" t="s">
        <v>2223</v>
      </c>
      <c r="C41" s="10" t="s">
        <v>24</v>
      </c>
      <c r="D41" s="10" t="s">
        <v>142</v>
      </c>
      <c r="E41" s="10" t="s">
        <v>143</v>
      </c>
      <c r="F41" s="7" t="s">
        <v>472</v>
      </c>
      <c r="G41" s="7" t="s">
        <v>2224</v>
      </c>
      <c r="H41" s="10" t="n">
        <v>1966</v>
      </c>
      <c r="I41" s="7" t="str">
        <f aca="false">IF(H41="","Unknown",IF(H41&lt;200,"Yes","No"))</f>
        <v>No</v>
      </c>
      <c r="J41" s="7" t="s">
        <v>844</v>
      </c>
      <c r="K41" s="7" t="n">
        <v>38</v>
      </c>
      <c r="L41" s="7" t="str">
        <f aca="false">IF(COUNTIFS(Papers!$AR$2:$AR$114,A41,Papers!$AQ$2:$AQ$114,"Introduces",Papers!$AO$2:$AO$114,"Include")&gt;0,"Yes","No")</f>
        <v>No</v>
      </c>
      <c r="M41" s="7" t="n">
        <f aca="false">COUNTIFS(Papers!$AR$2:$AR$114,A41,Papers!$AO$2:$AO$114,"Include")+COUNTIFS(Papers!$AS$2:$AS$114,A41,Papers!$AO$2:$AO$114,"Include")</f>
        <v>1</v>
      </c>
      <c r="N41" s="7" t="s">
        <v>2123</v>
      </c>
      <c r="O41" s="10"/>
      <c r="P41" s="13" t="n">
        <v>-51.5</v>
      </c>
      <c r="Q41" s="13" t="n">
        <v>-27.5</v>
      </c>
    </row>
    <row r="42" customFormat="false" ht="23.25" hidden="false" customHeight="true" outlineLevel="0" collapsed="false">
      <c r="A42" s="7" t="s">
        <v>2097</v>
      </c>
      <c r="B42" s="10" t="s">
        <v>2083</v>
      </c>
      <c r="C42" s="10" t="s">
        <v>24</v>
      </c>
      <c r="D42" s="10" t="s">
        <v>1985</v>
      </c>
      <c r="E42" s="10" t="s">
        <v>467</v>
      </c>
      <c r="F42" s="7" t="s">
        <v>472</v>
      </c>
      <c r="G42" s="7" t="s">
        <v>2225</v>
      </c>
      <c r="H42" s="10" t="n">
        <v>8396</v>
      </c>
      <c r="I42" s="7" t="str">
        <f aca="false">IF(H42="","Unknown",IF(H42&lt;200,"Yes","No"))</f>
        <v>No</v>
      </c>
      <c r="J42" s="7" t="s">
        <v>2093</v>
      </c>
      <c r="K42" s="7" t="n">
        <v>114</v>
      </c>
      <c r="L42" s="7" t="str">
        <f aca="false">IF(COUNTIFS(Papers!$AR$2:$AR$114,A42,Papers!$AQ$2:$AQ$114,"Introduces",Papers!$AO$2:$AO$114,"Include")&gt;0,"Yes","No")</f>
        <v>Yes</v>
      </c>
      <c r="M42" s="7" t="n">
        <f aca="false">COUNTIFS(Papers!$AR$2:$AR$114,A42,Papers!$AO$2:$AO$114,"Include")+COUNTIFS(Papers!$AS$2:$AS$114,A42,Papers!$AO$2:$AO$114,"Include")</f>
        <v>1</v>
      </c>
      <c r="N42" s="7" t="s">
        <v>2226</v>
      </c>
      <c r="O42" s="10" t="s">
        <v>2227</v>
      </c>
      <c r="P42" s="13" t="n">
        <v>-106</v>
      </c>
      <c r="Q42" s="13" t="n">
        <v>51.5</v>
      </c>
    </row>
    <row r="43" customFormat="false" ht="15" hidden="false" customHeight="true" outlineLevel="0" collapsed="false">
      <c r="A43" s="7" t="s">
        <v>1387</v>
      </c>
      <c r="B43" s="10" t="s">
        <v>1373</v>
      </c>
      <c r="C43" s="10" t="s">
        <v>24</v>
      </c>
      <c r="D43" s="10" t="s">
        <v>563</v>
      </c>
      <c r="E43" s="10" t="s">
        <v>126</v>
      </c>
      <c r="F43" s="7" t="s">
        <v>350</v>
      </c>
      <c r="G43" s="7" t="s">
        <v>2228</v>
      </c>
      <c r="H43" s="10" t="n">
        <v>440</v>
      </c>
      <c r="I43" s="7" t="str">
        <f aca="false">IF(H43="","Unknown",IF(H43&lt;200,"Yes","No"))</f>
        <v>No</v>
      </c>
      <c r="J43" s="7" t="s">
        <v>1382</v>
      </c>
      <c r="K43" s="7" t="n">
        <v>67</v>
      </c>
      <c r="L43" s="7" t="str">
        <f aca="false">IF(COUNTIFS(Papers!$AR$2:$AR$114,A43,Papers!$AQ$2:$AQ$114,"Introduces",Papers!$AO$2:$AO$114,"Include")&gt;0,"Yes","No")</f>
        <v>No</v>
      </c>
      <c r="M43" s="7" t="n">
        <f aca="false">COUNTIFS(Papers!$AR$2:$AR$114,A43,Papers!$AO$2:$AO$114,"Include")+COUNTIFS(Papers!$AS$2:$AS$114,A43,Papers!$AO$2:$AO$114,"Include")</f>
        <v>1</v>
      </c>
      <c r="N43" s="7" t="s">
        <v>2123</v>
      </c>
      <c r="O43" s="10"/>
      <c r="P43" s="13" t="n">
        <v>115.5</v>
      </c>
      <c r="Q43" s="13" t="n">
        <v>38.9</v>
      </c>
    </row>
    <row r="44" customFormat="false" ht="15" hidden="false" customHeight="true" outlineLevel="0" collapsed="false">
      <c r="A44" s="7" t="s">
        <v>1636</v>
      </c>
      <c r="B44" s="10" t="s">
        <v>2229</v>
      </c>
      <c r="C44" s="10" t="s">
        <v>24</v>
      </c>
      <c r="D44" s="10" t="s">
        <v>563</v>
      </c>
      <c r="E44" s="10" t="s">
        <v>126</v>
      </c>
      <c r="F44" s="7" t="s">
        <v>2110</v>
      </c>
      <c r="G44" s="7" t="s">
        <v>2230</v>
      </c>
      <c r="H44" s="10" t="n">
        <v>742</v>
      </c>
      <c r="I44" s="7" t="str">
        <f aca="false">IF(H44="","Unknown",IF(H44&lt;200,"Yes","No"))</f>
        <v>No</v>
      </c>
      <c r="J44" s="7" t="s">
        <v>2110</v>
      </c>
      <c r="K44" s="7" t="n">
        <v>82</v>
      </c>
      <c r="L44" s="7" t="str">
        <f aca="false">IF(COUNTIFS(Papers!$AR$2:$AR$114,A44,Papers!$AQ$2:$AQ$114,"Introduces",Papers!$AO$2:$AO$114,"Include")&gt;0,"Yes","No")</f>
        <v>No</v>
      </c>
      <c r="M44" s="7" t="n">
        <f aca="false">COUNTIFS(Papers!$AR$2:$AR$114,A44,Papers!$AO$2:$AO$114,"Include")+COUNTIFS(Papers!$AS$2:$AS$114,A44,Papers!$AO$2:$AO$114,"Include")</f>
        <v>1</v>
      </c>
      <c r="N44" s="7" t="s">
        <v>2123</v>
      </c>
      <c r="O44" s="10"/>
      <c r="P44" s="13"/>
      <c r="Q44" s="13"/>
    </row>
    <row r="45" customFormat="false" ht="15" hidden="false" customHeight="true" outlineLevel="0" collapsed="false">
      <c r="A45" s="7" t="s">
        <v>1220</v>
      </c>
      <c r="B45" s="10" t="s">
        <v>2231</v>
      </c>
      <c r="C45" s="10" t="s">
        <v>24</v>
      </c>
      <c r="D45" s="10" t="s">
        <v>563</v>
      </c>
      <c r="E45" s="10" t="s">
        <v>126</v>
      </c>
      <c r="F45" s="7" t="s">
        <v>472</v>
      </c>
      <c r="G45" s="7" t="s">
        <v>2232</v>
      </c>
      <c r="H45" s="10" t="n">
        <v>3492</v>
      </c>
      <c r="I45" s="7" t="str">
        <f aca="false">IF(H45="","Unknown",IF(H45&lt;200,"Yes","No"))</f>
        <v>No</v>
      </c>
      <c r="J45" s="7" t="s">
        <v>1214</v>
      </c>
      <c r="K45" s="7" t="n">
        <v>56</v>
      </c>
      <c r="L45" s="7" t="str">
        <f aca="false">IF(COUNTIFS(Papers!$AR$2:$AR$114,A45,Papers!$AQ$2:$AQ$114,"Introduces",Papers!$AO$2:$AO$114,"Include")&gt;0,"Yes","No")</f>
        <v>No</v>
      </c>
      <c r="M45" s="7" t="n">
        <f aca="false">COUNTIFS(Papers!$AR$2:$AR$114,A45,Papers!$AO$2:$AO$114,"Include")+COUNTIFS(Papers!$AS$2:$AS$114,A45,Papers!$AO$2:$AO$114,"Include")</f>
        <v>1</v>
      </c>
      <c r="N45" s="7" t="s">
        <v>2123</v>
      </c>
      <c r="O45" s="10"/>
      <c r="P45" s="13" t="n">
        <v>114.3</v>
      </c>
      <c r="Q45" s="13" t="n">
        <v>30.6</v>
      </c>
    </row>
    <row r="46" customFormat="false" ht="15" hidden="false" customHeight="true" outlineLevel="0" collapsed="false">
      <c r="A46" s="7" t="s">
        <v>915</v>
      </c>
      <c r="B46" s="10" t="s">
        <v>2233</v>
      </c>
      <c r="C46" s="10" t="s">
        <v>24</v>
      </c>
      <c r="D46" s="10" t="s">
        <v>563</v>
      </c>
      <c r="E46" s="10" t="s">
        <v>126</v>
      </c>
      <c r="F46" s="7" t="s">
        <v>2110</v>
      </c>
      <c r="G46" s="7" t="s">
        <v>2234</v>
      </c>
      <c r="H46" s="10" t="n">
        <v>2069</v>
      </c>
      <c r="I46" s="7" t="str">
        <f aca="false">IF(H46="","Unknown",IF(H46&lt;200,"Yes","No"))</f>
        <v>No</v>
      </c>
      <c r="J46" s="7" t="s">
        <v>2110</v>
      </c>
      <c r="K46" s="7" t="n">
        <v>41</v>
      </c>
      <c r="L46" s="7" t="str">
        <f aca="false">IF(COUNTIFS(Papers!$AR$2:$AR$114,A46,Papers!$AQ$2:$AQ$114,"Introduces",Papers!$AO$2:$AO$114,"Include")&gt;0,"Yes","No")</f>
        <v>No</v>
      </c>
      <c r="M46" s="7" t="n">
        <f aca="false">COUNTIFS(Papers!$AR$2:$AR$114,A46,Papers!$AO$2:$AO$114,"Include")+COUNTIFS(Papers!$AS$2:$AS$114,A46,Papers!$AO$2:$AO$114,"Include")</f>
        <v>1</v>
      </c>
      <c r="N46" s="7" t="s">
        <v>2123</v>
      </c>
      <c r="O46" s="10"/>
      <c r="P46" s="13" t="n">
        <v>120.2</v>
      </c>
      <c r="Q46" s="13" t="n">
        <v>29.2</v>
      </c>
    </row>
    <row r="47" customFormat="false" ht="23.25" hidden="false" customHeight="true" outlineLevel="0" collapsed="false">
      <c r="A47" s="7" t="s">
        <v>120</v>
      </c>
      <c r="B47" s="10" t="s">
        <v>2235</v>
      </c>
      <c r="C47" s="10" t="s">
        <v>24</v>
      </c>
      <c r="D47" s="10" t="s">
        <v>2236</v>
      </c>
      <c r="E47" s="10" t="s">
        <v>126</v>
      </c>
      <c r="F47" s="7" t="s">
        <v>98</v>
      </c>
      <c r="G47" s="7" t="s">
        <v>2110</v>
      </c>
      <c r="H47" s="10"/>
      <c r="I47" s="7" t="str">
        <f aca="false">IF(H47="","Unknown",IF(H47&lt;200,"Yes","No"))</f>
        <v>Unknown</v>
      </c>
      <c r="J47" s="7" t="s">
        <v>111</v>
      </c>
      <c r="K47" s="7" t="n">
        <v>2</v>
      </c>
      <c r="L47" s="7" t="str">
        <f aca="false">IF(COUNTIFS(Papers!$AR$2:$AR$114,A47,Papers!$AQ$2:$AQ$114,"Introduces",Papers!$AO$2:$AO$114,"Include")&gt;0,"Yes","No")</f>
        <v>Yes</v>
      </c>
      <c r="M47" s="7" t="n">
        <f aca="false">COUNTIFS(Papers!$AR$2:$AR$114,A47,Papers!$AO$2:$AO$114,"Include")+COUNTIFS(Papers!$AS$2:$AS$114,A47,Papers!$AO$2:$AO$114,"Include")</f>
        <v>1</v>
      </c>
      <c r="N47" s="7" t="s">
        <v>2237</v>
      </c>
      <c r="O47" s="10"/>
      <c r="P47" s="13"/>
      <c r="Q47" s="13"/>
    </row>
    <row r="48" customFormat="false" ht="23.25" hidden="false" customHeight="true" outlineLevel="0" collapsed="false">
      <c r="A48" s="7" t="s">
        <v>434</v>
      </c>
      <c r="B48" s="10" t="s">
        <v>2238</v>
      </c>
      <c r="C48" s="10" t="s">
        <v>24</v>
      </c>
      <c r="D48" s="10" t="s">
        <v>2236</v>
      </c>
      <c r="E48" s="10" t="s">
        <v>126</v>
      </c>
      <c r="F48" s="7" t="s">
        <v>278</v>
      </c>
      <c r="G48" s="7" t="s">
        <v>2239</v>
      </c>
      <c r="H48" s="10" t="n">
        <v>138</v>
      </c>
      <c r="I48" s="7" t="str">
        <f aca="false">IF(H48="","Unknown",IF(H48&lt;200,"Yes","No"))</f>
        <v>Yes</v>
      </c>
      <c r="J48" s="7" t="s">
        <v>429</v>
      </c>
      <c r="K48" s="7" t="n">
        <v>18</v>
      </c>
      <c r="L48" s="7" t="str">
        <f aca="false">IF(COUNTIFS(Papers!$AR$2:$AR$114,A48,Papers!$AQ$2:$AQ$114,"Introduces",Papers!$AO$2:$AO$114,"Include")&gt;0,"Yes","No")</f>
        <v>Yes</v>
      </c>
      <c r="M48" s="7" t="n">
        <f aca="false">COUNTIFS(Papers!$AR$2:$AR$114,A48,Papers!$AO$2:$AO$114,"Include")+COUNTIFS(Papers!$AS$2:$AS$114,A48,Papers!$AO$2:$AO$114,"Include")</f>
        <v>1</v>
      </c>
      <c r="N48" s="7" t="s">
        <v>2240</v>
      </c>
      <c r="O48" s="10"/>
      <c r="P48" s="13" t="n">
        <v>72.5</v>
      </c>
      <c r="Q48" s="13" t="n">
        <v>27</v>
      </c>
    </row>
    <row r="49" customFormat="false" ht="23.25" hidden="false" customHeight="true" outlineLevel="0" collapsed="false">
      <c r="A49" s="7" t="s">
        <v>1079</v>
      </c>
      <c r="B49" s="10" t="s">
        <v>2241</v>
      </c>
      <c r="C49" s="10" t="s">
        <v>24</v>
      </c>
      <c r="D49" s="10" t="s">
        <v>2242</v>
      </c>
      <c r="E49" s="10" t="s">
        <v>135</v>
      </c>
      <c r="F49" s="7" t="s">
        <v>472</v>
      </c>
      <c r="G49" s="7" t="s">
        <v>2243</v>
      </c>
      <c r="H49" s="10" t="n">
        <v>267</v>
      </c>
      <c r="I49" s="7" t="str">
        <f aca="false">IF(H49="","Unknown",IF(H49&lt;200,"Yes","No"))</f>
        <v>No</v>
      </c>
      <c r="J49" s="7" t="s">
        <v>1074</v>
      </c>
      <c r="K49" s="7" t="n">
        <v>50</v>
      </c>
      <c r="L49" s="7" t="str">
        <f aca="false">IF(COUNTIFS(Papers!$AR$2:$AR$114,A49,Papers!$AQ$2:$AQ$114,"Introduces",Papers!$AO$2:$AO$114,"Include")&gt;0,"Yes","No")</f>
        <v>Yes</v>
      </c>
      <c r="M49" s="7" t="n">
        <f aca="false">COUNTIFS(Papers!$AR$2:$AR$114,A49,Papers!$AO$2:$AO$114,"Include")+COUNTIFS(Papers!$AS$2:$AS$114,A49,Papers!$AO$2:$AO$114,"Include")</f>
        <v>1</v>
      </c>
      <c r="N49" s="7" t="s">
        <v>2244</v>
      </c>
      <c r="O49" s="10" t="s">
        <v>2245</v>
      </c>
      <c r="P49" s="13" t="n">
        <v>16.3</v>
      </c>
      <c r="Q49" s="13" t="n">
        <v>39</v>
      </c>
    </row>
    <row r="50" customFormat="false" ht="34.5" hidden="false" customHeight="true" outlineLevel="0" collapsed="false">
      <c r="A50" s="7" t="s">
        <v>2012</v>
      </c>
      <c r="B50" s="10" t="s">
        <v>2246</v>
      </c>
      <c r="C50" s="10" t="s">
        <v>24</v>
      </c>
      <c r="D50" s="10" t="s">
        <v>2247</v>
      </c>
      <c r="E50" s="10" t="s">
        <v>126</v>
      </c>
      <c r="F50" s="7" t="s">
        <v>1999</v>
      </c>
      <c r="G50" s="7" t="s">
        <v>2110</v>
      </c>
      <c r="H50" s="10"/>
      <c r="I50" s="7" t="str">
        <f aca="false">IF(H50="","Unknown",IF(H50&lt;200,"Yes","No"))</f>
        <v>Unknown</v>
      </c>
      <c r="J50" s="7" t="s">
        <v>2007</v>
      </c>
      <c r="K50" s="7" t="n">
        <v>108</v>
      </c>
      <c r="L50" s="7" t="str">
        <f aca="false">IF(COUNTIFS(Papers!$AR$2:$AR$114,A50,Papers!$AQ$2:$AQ$114,"Introduces",Papers!$AO$2:$AO$114,"Include")&gt;0,"Yes","No")</f>
        <v>Yes</v>
      </c>
      <c r="M50" s="7" t="n">
        <f aca="false">COUNTIFS(Papers!$AR$2:$AR$114,A50,Papers!$AO$2:$AO$114,"Include")+COUNTIFS(Papers!$AS$2:$AS$114,A50,Papers!$AO$2:$AO$114,"Include")</f>
        <v>1</v>
      </c>
      <c r="N50" s="7" t="s">
        <v>2248</v>
      </c>
      <c r="O50" s="10" t="s">
        <v>2249</v>
      </c>
      <c r="P50" s="13" t="n">
        <v>135.5</v>
      </c>
      <c r="Q50" s="13" t="n">
        <v>34.8</v>
      </c>
    </row>
    <row r="51" customFormat="false" ht="23.25" hidden="false" customHeight="true" outlineLevel="0" collapsed="false">
      <c r="A51" s="7" t="s">
        <v>534</v>
      </c>
      <c r="B51" s="10" t="s">
        <v>2250</v>
      </c>
      <c r="C51" s="10" t="s">
        <v>24</v>
      </c>
      <c r="D51" s="10" t="s">
        <v>513</v>
      </c>
      <c r="E51" s="10" t="s">
        <v>126</v>
      </c>
      <c r="F51" s="7" t="s">
        <v>350</v>
      </c>
      <c r="G51" s="7" t="s">
        <v>2251</v>
      </c>
      <c r="H51" s="10" t="n">
        <v>1500</v>
      </c>
      <c r="I51" s="7" t="str">
        <f aca="false">IF(H51="","Unknown",IF(H51&lt;200,"Yes","No"))</f>
        <v>No</v>
      </c>
      <c r="J51" s="7" t="s">
        <v>527</v>
      </c>
      <c r="K51" s="7" t="n">
        <v>23</v>
      </c>
      <c r="L51" s="7" t="str">
        <f aca="false">IF(COUNTIFS(Papers!$AR$2:$AR$114,A51,Papers!$AQ$2:$AQ$114,"Introduces",Papers!$AO$2:$AO$114,"Include")&gt;0,"Yes","No")</f>
        <v>Yes</v>
      </c>
      <c r="M51" s="7" t="n">
        <f aca="false">COUNTIFS(Papers!$AR$2:$AR$114,A51,Papers!$AO$2:$AO$114,"Include")+COUNTIFS(Papers!$AS$2:$AS$114,A51,Papers!$AO$2:$AO$114,"Include")</f>
        <v>1</v>
      </c>
      <c r="N51" s="7" t="s">
        <v>2252</v>
      </c>
      <c r="O51" s="10"/>
      <c r="P51" s="13" t="n">
        <v>127.2</v>
      </c>
      <c r="Q51" s="13" t="n">
        <v>37.4</v>
      </c>
    </row>
    <row r="52" customFormat="false" ht="23.25" hidden="false" customHeight="true" outlineLevel="0" collapsed="false">
      <c r="A52" s="7" t="s">
        <v>1493</v>
      </c>
      <c r="B52" s="10" t="s">
        <v>1475</v>
      </c>
      <c r="C52" s="10" t="s">
        <v>24</v>
      </c>
      <c r="D52" s="10" t="s">
        <v>1476</v>
      </c>
      <c r="E52" s="10" t="s">
        <v>264</v>
      </c>
      <c r="F52" s="7" t="s">
        <v>1480</v>
      </c>
      <c r="G52" s="7" t="s">
        <v>2253</v>
      </c>
      <c r="H52" s="10" t="n">
        <v>599</v>
      </c>
      <c r="I52" s="7" t="str">
        <f aca="false">IF(H52="","Unknown",IF(H52&lt;200,"Yes","No"))</f>
        <v>No</v>
      </c>
      <c r="J52" s="7" t="s">
        <v>1487</v>
      </c>
      <c r="K52" s="7" t="n">
        <v>72</v>
      </c>
      <c r="L52" s="7" t="str">
        <f aca="false">IF(COUNTIFS(Papers!$AR$2:$AR$114,A52,Papers!$AQ$2:$AQ$114,"Introduces",Papers!$AO$2:$AO$114,"Include")&gt;0,"Yes","No")</f>
        <v>No</v>
      </c>
      <c r="M52" s="7" t="n">
        <f aca="false">COUNTIFS(Papers!$AR$2:$AR$114,A52,Papers!$AO$2:$AO$114,"Include")+COUNTIFS(Papers!$AS$2:$AS$114,A52,Papers!$AO$2:$AO$114,"Include")</f>
        <v>1</v>
      </c>
      <c r="N52" s="7" t="s">
        <v>2123</v>
      </c>
      <c r="O52" s="10"/>
      <c r="P52" s="13"/>
      <c r="Q52" s="13"/>
    </row>
    <row r="53" customFormat="false" ht="15" hidden="false" customHeight="true" outlineLevel="0" collapsed="false">
      <c r="A53" s="7" t="s">
        <v>363</v>
      </c>
      <c r="B53" s="10" t="s">
        <v>2254</v>
      </c>
      <c r="C53" s="10" t="s">
        <v>24</v>
      </c>
      <c r="D53" s="10" t="s">
        <v>344</v>
      </c>
      <c r="E53" s="10" t="s">
        <v>264</v>
      </c>
      <c r="F53" s="7" t="s">
        <v>350</v>
      </c>
      <c r="G53" s="7" t="s">
        <v>2255</v>
      </c>
      <c r="H53" s="10" t="n">
        <v>129</v>
      </c>
      <c r="I53" s="7" t="str">
        <f aca="false">IF(H53="","Unknown",IF(H53&lt;200,"Yes","No"))</f>
        <v>Yes</v>
      </c>
      <c r="J53" s="7" t="s">
        <v>358</v>
      </c>
      <c r="K53" s="7" t="n">
        <v>15</v>
      </c>
      <c r="L53" s="7" t="str">
        <f aca="false">IF(COUNTIFS(Papers!$AR$2:$AR$114,A53,Papers!$AQ$2:$AQ$114,"Introduces",Papers!$AO$2:$AO$114,"Include")&gt;0,"Yes","No")</f>
        <v>Yes</v>
      </c>
      <c r="M53" s="7" t="n">
        <f aca="false">COUNTIFS(Papers!$AR$2:$AR$114,A53,Papers!$AO$2:$AO$114,"Include")+COUNTIFS(Papers!$AS$2:$AS$114,A53,Papers!$AO$2:$AO$114,"Include")</f>
        <v>1</v>
      </c>
      <c r="N53" s="7" t="s">
        <v>2256</v>
      </c>
      <c r="O53" s="10"/>
      <c r="P53" s="13" t="n">
        <v>32</v>
      </c>
      <c r="Q53" s="13" t="n">
        <v>-23.5</v>
      </c>
    </row>
    <row r="54" customFormat="false" ht="15" hidden="false" customHeight="true" outlineLevel="0" collapsed="false">
      <c r="A54" s="7" t="s">
        <v>1530</v>
      </c>
      <c r="B54" s="10" t="s">
        <v>2257</v>
      </c>
      <c r="C54" s="10" t="s">
        <v>24</v>
      </c>
      <c r="D54" s="10" t="s">
        <v>228</v>
      </c>
      <c r="E54" s="10" t="s">
        <v>229</v>
      </c>
      <c r="F54" s="7" t="s">
        <v>2110</v>
      </c>
      <c r="G54" s="7" t="s">
        <v>2258</v>
      </c>
      <c r="H54" s="10" t="n">
        <v>625</v>
      </c>
      <c r="I54" s="7" t="str">
        <f aca="false">IF(H54="","Unknown",IF(H54&lt;200,"Yes","No"))</f>
        <v>No</v>
      </c>
      <c r="J54" s="7" t="s">
        <v>2110</v>
      </c>
      <c r="K54" s="7" t="n">
        <v>75</v>
      </c>
      <c r="L54" s="7" t="str">
        <f aca="false">IF(COUNTIFS(Papers!$AR$2:$AR$114,A54,Papers!$AQ$2:$AQ$114,"Introduces",Papers!$AO$2:$AO$114,"Include")&gt;0,"Yes","No")</f>
        <v>No</v>
      </c>
      <c r="M54" s="7" t="n">
        <f aca="false">COUNTIFS(Papers!$AR$2:$AR$114,A54,Papers!$AO$2:$AO$114,"Include")+COUNTIFS(Papers!$AS$2:$AS$114,A54,Papers!$AO$2:$AO$114,"Include")</f>
        <v>1</v>
      </c>
      <c r="N54" s="7" t="s">
        <v>2123</v>
      </c>
      <c r="O54" s="10"/>
      <c r="P54" s="13" t="n">
        <v>169.5</v>
      </c>
      <c r="Q54" s="13" t="n">
        <v>-45.5</v>
      </c>
    </row>
    <row r="55" customFormat="false" ht="15" hidden="false" customHeight="true" outlineLevel="0" collapsed="false">
      <c r="A55" s="7" t="s">
        <v>1544</v>
      </c>
      <c r="B55" s="10" t="s">
        <v>2259</v>
      </c>
      <c r="C55" s="10" t="s">
        <v>24</v>
      </c>
      <c r="D55" s="10" t="s">
        <v>2203</v>
      </c>
      <c r="E55" s="10" t="s">
        <v>229</v>
      </c>
      <c r="F55" s="7" t="s">
        <v>2110</v>
      </c>
      <c r="G55" s="7" t="s">
        <v>2260</v>
      </c>
      <c r="H55" s="10" t="n">
        <v>655</v>
      </c>
      <c r="I55" s="7" t="str">
        <f aca="false">IF(H55="","Unknown",IF(H55&lt;200,"Yes","No"))</f>
        <v>No</v>
      </c>
      <c r="J55" s="7" t="s">
        <v>2110</v>
      </c>
      <c r="K55" s="7" t="n">
        <v>77</v>
      </c>
      <c r="L55" s="7" t="str">
        <f aca="false">IF(COUNTIFS(Papers!$AR$2:$AR$114,A55,Papers!$AQ$2:$AQ$114,"Introduces",Papers!$AO$2:$AO$114,"Include")&gt;0,"Yes","No")</f>
        <v>Yes</v>
      </c>
      <c r="M55" s="7" t="n">
        <f aca="false">COUNTIFS(Papers!$AR$2:$AR$114,A55,Papers!$AO$2:$AO$114,"Include")+COUNTIFS(Papers!$AS$2:$AS$114,A55,Papers!$AO$2:$AO$114,"Include")</f>
        <v>1</v>
      </c>
      <c r="N55" s="7" t="s">
        <v>2261</v>
      </c>
      <c r="O55" s="10"/>
      <c r="P55" s="13" t="n">
        <v>-157.5</v>
      </c>
      <c r="Q55" s="13" t="n">
        <v>20.8</v>
      </c>
    </row>
    <row r="56" customFormat="false" ht="23.25" hidden="false" customHeight="true" outlineLevel="0" collapsed="false">
      <c r="A56" s="7" t="s">
        <v>1774</v>
      </c>
      <c r="B56" s="10" t="s">
        <v>2262</v>
      </c>
      <c r="C56" s="10" t="s">
        <v>24</v>
      </c>
      <c r="D56" s="10" t="s">
        <v>1757</v>
      </c>
      <c r="E56" s="10" t="s">
        <v>264</v>
      </c>
      <c r="F56" s="7" t="s">
        <v>723</v>
      </c>
      <c r="G56" s="7" t="s">
        <v>2263</v>
      </c>
      <c r="H56" s="10" t="n">
        <v>979</v>
      </c>
      <c r="I56" s="7" t="str">
        <f aca="false">IF(H56="","Unknown",IF(H56&lt;200,"Yes","No"))</f>
        <v>No</v>
      </c>
      <c r="J56" s="7" t="s">
        <v>1768</v>
      </c>
      <c r="K56" s="7" t="n">
        <v>89</v>
      </c>
      <c r="L56" s="7" t="str">
        <f aca="false">IF(COUNTIFS(Papers!$AR$2:$AR$114,A56,Papers!$AQ$2:$AQ$114,"Introduces",Papers!$AO$2:$AO$114,"Include")&gt;0,"Yes","No")</f>
        <v>Yes</v>
      </c>
      <c r="M56" s="7" t="n">
        <f aca="false">COUNTIFS(Papers!$AR$2:$AR$114,A56,Papers!$AO$2:$AO$114,"Include")+COUNTIFS(Papers!$AS$2:$AS$114,A56,Papers!$AO$2:$AO$114,"Include")</f>
        <v>1</v>
      </c>
      <c r="N56" s="7" t="s">
        <v>2264</v>
      </c>
      <c r="O56" s="10"/>
      <c r="P56" s="13" t="n">
        <v>26.5</v>
      </c>
      <c r="Q56" s="13" t="n">
        <v>-26.5</v>
      </c>
    </row>
  </sheetData>
  <autoFilter ref="A1:Q56"/>
  <dataValidations count="1">
    <dataValidation allowBlank="false" errorStyle="stop" operator="between" showDropDown="false" showErrorMessage="false" showInputMessage="false" sqref="C2:C56" type="list">
      <formula1>"National,Sub-national,Multi-country,Global,Continental / regional"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8"/>
    <col collapsed="false" customWidth="true" hidden="false" outlineLevel="0" max="4" min="3" style="1" width="14"/>
  </cols>
  <sheetData>
    <row r="1" customFormat="false" ht="34.5" hidden="false" customHeight="true" outlineLevel="0" collapsed="false">
      <c r="A1" s="9" t="s">
        <v>88</v>
      </c>
      <c r="B1" s="9" t="s">
        <v>2265</v>
      </c>
      <c r="C1" s="9" t="s">
        <v>54</v>
      </c>
      <c r="D1" s="9" t="s">
        <v>2266</v>
      </c>
    </row>
    <row r="2" customFormat="false" ht="15" hidden="false" customHeight="true" outlineLevel="0" collapsed="false">
      <c r="A2" s="14" t="s">
        <v>745</v>
      </c>
      <c r="B2" s="14" t="s">
        <v>2267</v>
      </c>
      <c r="C2" s="4" t="str">
        <f aca="false">INDEX(Libraries!$C:$C,MATCH(A2,Libraries!$A:$A,0))</f>
        <v>Multi-country</v>
      </c>
      <c r="D2" s="4" t="str">
        <f aca="false">IF(INDEX(Libraries!$M:$M,MATCH(A2,Libraries!$A:$A,0))&gt;0,"Yes","No")</f>
        <v>Yes</v>
      </c>
    </row>
    <row r="3" customFormat="false" ht="15" hidden="false" customHeight="true" outlineLevel="0" collapsed="false">
      <c r="A3" s="14" t="s">
        <v>745</v>
      </c>
      <c r="B3" s="14" t="s">
        <v>2268</v>
      </c>
      <c r="C3" s="4" t="str">
        <f aca="false">INDEX(Libraries!$C:$C,MATCH(A3,Libraries!$A:$A,0))</f>
        <v>Multi-country</v>
      </c>
      <c r="D3" s="4" t="str">
        <f aca="false">IF(INDEX(Libraries!$M:$M,MATCH(A3,Libraries!$A:$A,0))&gt;0,"Yes","No")</f>
        <v>Yes</v>
      </c>
    </row>
    <row r="4" customFormat="false" ht="15" hidden="false" customHeight="true" outlineLevel="0" collapsed="false">
      <c r="A4" s="14" t="s">
        <v>745</v>
      </c>
      <c r="B4" s="14" t="s">
        <v>2269</v>
      </c>
      <c r="C4" s="4" t="str">
        <f aca="false">INDEX(Libraries!$C:$C,MATCH(A4,Libraries!$A:$A,0))</f>
        <v>Multi-country</v>
      </c>
      <c r="D4" s="4" t="str">
        <f aca="false">IF(INDEX(Libraries!$M:$M,MATCH(A4,Libraries!$A:$A,0))&gt;0,"Yes","No")</f>
        <v>Yes</v>
      </c>
    </row>
    <row r="5" customFormat="false" ht="15" hidden="false" customHeight="true" outlineLevel="0" collapsed="false">
      <c r="A5" s="14" t="s">
        <v>754</v>
      </c>
      <c r="B5" s="14" t="s">
        <v>2270</v>
      </c>
      <c r="C5" s="4" t="str">
        <f aca="false">INDEX(Libraries!$C:$C,MATCH(A5,Libraries!$A:$A,0))</f>
        <v>Multi-country</v>
      </c>
      <c r="D5" s="4" t="str">
        <f aca="false">IF(INDEX(Libraries!$M:$M,MATCH(A5,Libraries!$A:$A,0))&gt;0,"Yes","No")</f>
        <v>Yes</v>
      </c>
    </row>
    <row r="6" customFormat="false" ht="15" hidden="false" customHeight="true" outlineLevel="0" collapsed="false">
      <c r="A6" s="14" t="s">
        <v>754</v>
      </c>
      <c r="B6" s="14" t="s">
        <v>2271</v>
      </c>
      <c r="C6" s="4" t="str">
        <f aca="false">INDEX(Libraries!$C:$C,MATCH(A6,Libraries!$A:$A,0))</f>
        <v>Multi-country</v>
      </c>
      <c r="D6" s="4" t="str">
        <f aca="false">IF(INDEX(Libraries!$M:$M,MATCH(A6,Libraries!$A:$A,0))&gt;0,"Yes","No")</f>
        <v>Yes</v>
      </c>
    </row>
    <row r="7" customFormat="false" ht="15" hidden="false" customHeight="true" outlineLevel="0" collapsed="false">
      <c r="A7" s="14" t="s">
        <v>754</v>
      </c>
      <c r="B7" s="14" t="s">
        <v>2272</v>
      </c>
      <c r="C7" s="4" t="str">
        <f aca="false">INDEX(Libraries!$C:$C,MATCH(A7,Libraries!$A:$A,0))</f>
        <v>Multi-country</v>
      </c>
      <c r="D7" s="4" t="str">
        <f aca="false">IF(INDEX(Libraries!$M:$M,MATCH(A7,Libraries!$A:$A,0))&gt;0,"Yes","No")</f>
        <v>Yes</v>
      </c>
    </row>
    <row r="8" customFormat="false" ht="15" hidden="false" customHeight="true" outlineLevel="0" collapsed="false">
      <c r="A8" s="14" t="s">
        <v>754</v>
      </c>
      <c r="B8" s="14" t="s">
        <v>2273</v>
      </c>
      <c r="C8" s="4" t="str">
        <f aca="false">INDEX(Libraries!$C:$C,MATCH(A8,Libraries!$A:$A,0))</f>
        <v>Multi-country</v>
      </c>
      <c r="D8" s="4" t="str">
        <f aca="false">IF(INDEX(Libraries!$M:$M,MATCH(A8,Libraries!$A:$A,0))&gt;0,"Yes","No")</f>
        <v>Yes</v>
      </c>
    </row>
    <row r="9" customFormat="false" ht="15" hidden="false" customHeight="true" outlineLevel="0" collapsed="false">
      <c r="A9" s="14" t="s">
        <v>754</v>
      </c>
      <c r="B9" s="14" t="s">
        <v>2274</v>
      </c>
      <c r="C9" s="4" t="str">
        <f aca="false">INDEX(Libraries!$C:$C,MATCH(A9,Libraries!$A:$A,0))</f>
        <v>Multi-country</v>
      </c>
      <c r="D9" s="4" t="str">
        <f aca="false">IF(INDEX(Libraries!$M:$M,MATCH(A9,Libraries!$A:$A,0))&gt;0,"Yes","No")</f>
        <v>Yes</v>
      </c>
    </row>
    <row r="10" customFormat="false" ht="15" hidden="false" customHeight="true" outlineLevel="0" collapsed="false">
      <c r="A10" s="14" t="s">
        <v>210</v>
      </c>
      <c r="B10" s="14" t="s">
        <v>2275</v>
      </c>
      <c r="C10" s="4" t="str">
        <f aca="false">INDEX(Libraries!$C:$C,MATCH(A10,Libraries!$A:$A,0))</f>
        <v>Multi-country</v>
      </c>
      <c r="D10" s="4" t="str">
        <f aca="false">IF(INDEX(Libraries!$M:$M,MATCH(A10,Libraries!$A:$A,0))&gt;0,"Yes","No")</f>
        <v>Yes</v>
      </c>
    </row>
    <row r="11" customFormat="false" ht="15" hidden="false" customHeight="true" outlineLevel="0" collapsed="false">
      <c r="A11" s="14" t="s">
        <v>210</v>
      </c>
      <c r="B11" s="14" t="s">
        <v>2276</v>
      </c>
      <c r="C11" s="4" t="str">
        <f aca="false">INDEX(Libraries!$C:$C,MATCH(A11,Libraries!$A:$A,0))</f>
        <v>Multi-country</v>
      </c>
      <c r="D11" s="4" t="str">
        <f aca="false">IF(INDEX(Libraries!$M:$M,MATCH(A11,Libraries!$A:$A,0))&gt;0,"Yes","No")</f>
        <v>Yes</v>
      </c>
    </row>
    <row r="12" customFormat="false" ht="15" hidden="false" customHeight="true" outlineLevel="0" collapsed="false">
      <c r="A12" s="14" t="s">
        <v>210</v>
      </c>
      <c r="B12" s="14" t="s">
        <v>796</v>
      </c>
      <c r="C12" s="4" t="str">
        <f aca="false">INDEX(Libraries!$C:$C,MATCH(A12,Libraries!$A:$A,0))</f>
        <v>Multi-country</v>
      </c>
      <c r="D12" s="4" t="str">
        <f aca="false">IF(INDEX(Libraries!$M:$M,MATCH(A12,Libraries!$A:$A,0))&gt;0,"Yes","No")</f>
        <v>Yes</v>
      </c>
    </row>
    <row r="13" customFormat="false" ht="15" hidden="false" customHeight="true" outlineLevel="0" collapsed="false">
      <c r="A13" s="14" t="s">
        <v>210</v>
      </c>
      <c r="B13" s="14" t="s">
        <v>403</v>
      </c>
      <c r="C13" s="4" t="str">
        <f aca="false">INDEX(Libraries!$C:$C,MATCH(A13,Libraries!$A:$A,0))</f>
        <v>Multi-country</v>
      </c>
      <c r="D13" s="4" t="str">
        <f aca="false">IF(INDEX(Libraries!$M:$M,MATCH(A13,Libraries!$A:$A,0))&gt;0,"Yes","No")</f>
        <v>Yes</v>
      </c>
    </row>
    <row r="14" customFormat="false" ht="15" hidden="false" customHeight="true" outlineLevel="0" collapsed="false">
      <c r="A14" s="14" t="s">
        <v>691</v>
      </c>
      <c r="B14" s="14" t="s">
        <v>1444</v>
      </c>
      <c r="C14" s="4" t="str">
        <f aca="false">INDEX(Libraries!$C:$C,MATCH(A14,Libraries!$A:$A,0))</f>
        <v>Multi-country</v>
      </c>
      <c r="D14" s="4" t="str">
        <f aca="false">IF(INDEX(Libraries!$M:$M,MATCH(A14,Libraries!$A:$A,0))&gt;0,"Yes","No")</f>
        <v>Yes</v>
      </c>
    </row>
    <row r="15" customFormat="false" ht="15" hidden="false" customHeight="true" outlineLevel="0" collapsed="false">
      <c r="A15" s="14" t="s">
        <v>691</v>
      </c>
      <c r="B15" s="14" t="s">
        <v>301</v>
      </c>
      <c r="C15" s="4" t="str">
        <f aca="false">INDEX(Libraries!$C:$C,MATCH(A15,Libraries!$A:$A,0))</f>
        <v>Multi-country</v>
      </c>
      <c r="D15" s="4" t="str">
        <f aca="false">IF(INDEX(Libraries!$M:$M,MATCH(A15,Libraries!$A:$A,0))&gt;0,"Yes","No")</f>
        <v>Yes</v>
      </c>
    </row>
    <row r="16" customFormat="false" ht="15" hidden="false" customHeight="true" outlineLevel="0" collapsed="false">
      <c r="A16" s="14" t="s">
        <v>691</v>
      </c>
      <c r="B16" s="14" t="s">
        <v>1748</v>
      </c>
      <c r="C16" s="4" t="str">
        <f aca="false">INDEX(Libraries!$C:$C,MATCH(A16,Libraries!$A:$A,0))</f>
        <v>Multi-country</v>
      </c>
      <c r="D16" s="4" t="str">
        <f aca="false">IF(INDEX(Libraries!$M:$M,MATCH(A16,Libraries!$A:$A,0))&gt;0,"Yes","No")</f>
        <v>Yes</v>
      </c>
    </row>
    <row r="17" customFormat="false" ht="15" hidden="false" customHeight="true" outlineLevel="0" collapsed="false">
      <c r="A17" s="14" t="s">
        <v>691</v>
      </c>
      <c r="B17" s="14" t="s">
        <v>2277</v>
      </c>
      <c r="C17" s="4" t="str">
        <f aca="false">INDEX(Libraries!$C:$C,MATCH(A17,Libraries!$A:$A,0))</f>
        <v>Multi-country</v>
      </c>
      <c r="D17" s="4" t="str">
        <f aca="false">IF(INDEX(Libraries!$M:$M,MATCH(A17,Libraries!$A:$A,0))&gt;0,"Yes","No")</f>
        <v>Yes</v>
      </c>
    </row>
    <row r="18" customFormat="false" ht="15" hidden="false" customHeight="true" outlineLevel="0" collapsed="false">
      <c r="A18" s="14" t="s">
        <v>691</v>
      </c>
      <c r="B18" s="14" t="s">
        <v>2278</v>
      </c>
      <c r="C18" s="4" t="str">
        <f aca="false">INDEX(Libraries!$C:$C,MATCH(A18,Libraries!$A:$A,0))</f>
        <v>Multi-country</v>
      </c>
      <c r="D18" s="4" t="str">
        <f aca="false">IF(INDEX(Libraries!$M:$M,MATCH(A18,Libraries!$A:$A,0))&gt;0,"Yes","No")</f>
        <v>Yes</v>
      </c>
    </row>
    <row r="19" customFormat="false" ht="15" hidden="false" customHeight="true" outlineLevel="0" collapsed="false">
      <c r="A19" s="14" t="s">
        <v>691</v>
      </c>
      <c r="B19" s="14" t="s">
        <v>2279</v>
      </c>
      <c r="C19" s="4" t="str">
        <f aca="false">INDEX(Libraries!$C:$C,MATCH(A19,Libraries!$A:$A,0))</f>
        <v>Multi-country</v>
      </c>
      <c r="D19" s="4" t="str">
        <f aca="false">IF(INDEX(Libraries!$M:$M,MATCH(A19,Libraries!$A:$A,0))&gt;0,"Yes","No")</f>
        <v>Yes</v>
      </c>
    </row>
    <row r="20" customFormat="false" ht="15" hidden="false" customHeight="true" outlineLevel="0" collapsed="false">
      <c r="A20" s="14" t="s">
        <v>691</v>
      </c>
      <c r="B20" s="14" t="s">
        <v>2280</v>
      </c>
      <c r="C20" s="4" t="str">
        <f aca="false">INDEX(Libraries!$C:$C,MATCH(A20,Libraries!$A:$A,0))</f>
        <v>Multi-country</v>
      </c>
      <c r="D20" s="4" t="str">
        <f aca="false">IF(INDEX(Libraries!$M:$M,MATCH(A20,Libraries!$A:$A,0))&gt;0,"Yes","No")</f>
        <v>Yes</v>
      </c>
    </row>
    <row r="21" customFormat="false" ht="15" hidden="false" customHeight="true" outlineLevel="0" collapsed="false">
      <c r="A21" s="14" t="s">
        <v>691</v>
      </c>
      <c r="B21" s="14" t="s">
        <v>2281</v>
      </c>
      <c r="C21" s="4" t="str">
        <f aca="false">INDEX(Libraries!$C:$C,MATCH(A21,Libraries!$A:$A,0))</f>
        <v>Multi-country</v>
      </c>
      <c r="D21" s="4" t="str">
        <f aca="false">IF(INDEX(Libraries!$M:$M,MATCH(A21,Libraries!$A:$A,0))&gt;0,"Yes","No")</f>
        <v>Yes</v>
      </c>
    </row>
    <row r="22" customFormat="false" ht="15" hidden="false" customHeight="true" outlineLevel="0" collapsed="false">
      <c r="A22" s="14" t="s">
        <v>949</v>
      </c>
      <c r="B22" s="14" t="s">
        <v>927</v>
      </c>
      <c r="C22" s="4" t="str">
        <f aca="false">INDEX(Libraries!$C:$C,MATCH(A22,Libraries!$A:$A,0))</f>
        <v>National</v>
      </c>
      <c r="D22" s="4" t="str">
        <f aca="false">IF(INDEX(Libraries!$M:$M,MATCH(A22,Libraries!$A:$A,0))&gt;0,"Yes","No")</f>
        <v>Yes</v>
      </c>
    </row>
    <row r="23" customFormat="false" ht="15" hidden="false" customHeight="true" outlineLevel="0" collapsed="false">
      <c r="A23" s="14" t="s">
        <v>1915</v>
      </c>
      <c r="B23" s="14" t="s">
        <v>882</v>
      </c>
      <c r="C23" s="4" t="str">
        <f aca="false">INDEX(Libraries!$C:$C,MATCH(A23,Libraries!$A:$A,0))</f>
        <v>National</v>
      </c>
      <c r="D23" s="4" t="str">
        <f aca="false">IF(INDEX(Libraries!$M:$M,MATCH(A23,Libraries!$A:$A,0))&gt;0,"Yes","No")</f>
        <v>Yes</v>
      </c>
    </row>
    <row r="24" customFormat="false" ht="15" hidden="false" customHeight="true" outlineLevel="0" collapsed="false">
      <c r="A24" s="14" t="s">
        <v>907</v>
      </c>
      <c r="B24" s="14" t="s">
        <v>882</v>
      </c>
      <c r="C24" s="4" t="str">
        <f aca="false">INDEX(Libraries!$C:$C,MATCH(A24,Libraries!$A:$A,0))</f>
        <v>National</v>
      </c>
      <c r="D24" s="4" t="str">
        <f aca="false">IF(INDEX(Libraries!$M:$M,MATCH(A24,Libraries!$A:$A,0))&gt;0,"Yes","No")</f>
        <v>Yes</v>
      </c>
    </row>
    <row r="25" customFormat="false" ht="15" hidden="false" customHeight="true" outlineLevel="0" collapsed="false">
      <c r="A25" s="14" t="s">
        <v>147</v>
      </c>
      <c r="B25" s="14" t="s">
        <v>142</v>
      </c>
      <c r="C25" s="4" t="str">
        <f aca="false">INDEX(Libraries!$C:$C,MATCH(A25,Libraries!$A:$A,0))</f>
        <v>National</v>
      </c>
      <c r="D25" s="4" t="str">
        <f aca="false">IF(INDEX(Libraries!$M:$M,MATCH(A25,Libraries!$A:$A,0))&gt;0,"Yes","No")</f>
        <v>Yes</v>
      </c>
    </row>
    <row r="26" customFormat="false" ht="15" hidden="false" customHeight="true" outlineLevel="0" collapsed="false">
      <c r="A26" s="14" t="s">
        <v>1321</v>
      </c>
      <c r="B26" s="14" t="s">
        <v>142</v>
      </c>
      <c r="C26" s="4" t="str">
        <f aca="false">INDEX(Libraries!$C:$C,MATCH(A26,Libraries!$A:$A,0))</f>
        <v>National</v>
      </c>
      <c r="D26" s="4" t="str">
        <f aca="false">IF(INDEX(Libraries!$M:$M,MATCH(A26,Libraries!$A:$A,0))&gt;0,"Yes","No")</f>
        <v>Yes</v>
      </c>
    </row>
    <row r="27" customFormat="false" ht="15" hidden="false" customHeight="true" outlineLevel="0" collapsed="false">
      <c r="A27" s="14" t="s">
        <v>1349</v>
      </c>
      <c r="B27" s="14" t="s">
        <v>1326</v>
      </c>
      <c r="C27" s="4" t="str">
        <f aca="false">INDEX(Libraries!$C:$C,MATCH(A27,Libraries!$A:$A,0))</f>
        <v>National</v>
      </c>
      <c r="D27" s="4" t="str">
        <f aca="false">IF(INDEX(Libraries!$M:$M,MATCH(A27,Libraries!$A:$A,0))&gt;0,"Yes","No")</f>
        <v>Yes</v>
      </c>
    </row>
    <row r="28" customFormat="false" ht="15" hidden="false" customHeight="true" outlineLevel="0" collapsed="false">
      <c r="A28" s="14" t="s">
        <v>583</v>
      </c>
      <c r="B28" s="14" t="s">
        <v>563</v>
      </c>
      <c r="C28" s="4" t="str">
        <f aca="false">INDEX(Libraries!$C:$C,MATCH(A28,Libraries!$A:$A,0))</f>
        <v>National</v>
      </c>
      <c r="D28" s="4" t="str">
        <f aca="false">IF(INDEX(Libraries!$M:$M,MATCH(A28,Libraries!$A:$A,0))&gt;0,"Yes","No")</f>
        <v>Yes</v>
      </c>
    </row>
    <row r="29" customFormat="false" ht="15" hidden="false" customHeight="true" outlineLevel="0" collapsed="false">
      <c r="A29" s="14" t="s">
        <v>1948</v>
      </c>
      <c r="B29" s="14" t="s">
        <v>2175</v>
      </c>
      <c r="C29" s="4" t="str">
        <f aca="false">INDEX(Libraries!$C:$C,MATCH(A29,Libraries!$A:$A,0))</f>
        <v>National</v>
      </c>
      <c r="D29" s="4" t="str">
        <f aca="false">IF(INDEX(Libraries!$M:$M,MATCH(A29,Libraries!$A:$A,0))&gt;0,"Yes","No")</f>
        <v>Yes</v>
      </c>
    </row>
    <row r="30" customFormat="false" ht="15" hidden="false" customHeight="true" outlineLevel="0" collapsed="false">
      <c r="A30" s="14" t="s">
        <v>508</v>
      </c>
      <c r="B30" s="14" t="s">
        <v>2175</v>
      </c>
      <c r="C30" s="4" t="str">
        <f aca="false">INDEX(Libraries!$C:$C,MATCH(A30,Libraries!$A:$A,0))</f>
        <v>National</v>
      </c>
      <c r="D30" s="4" t="str">
        <f aca="false">IF(INDEX(Libraries!$M:$M,MATCH(A30,Libraries!$A:$A,0))&gt;0,"Yes","No")</f>
        <v>Yes</v>
      </c>
    </row>
    <row r="31" customFormat="false" ht="15" hidden="false" customHeight="true" outlineLevel="0" collapsed="false">
      <c r="A31" s="14" t="s">
        <v>1147</v>
      </c>
      <c r="B31" s="14" t="s">
        <v>1129</v>
      </c>
      <c r="C31" s="4" t="str">
        <f aca="false">INDEX(Libraries!$C:$C,MATCH(A31,Libraries!$A:$A,0))</f>
        <v>National</v>
      </c>
      <c r="D31" s="4" t="str">
        <f aca="false">IF(INDEX(Libraries!$M:$M,MATCH(A31,Libraries!$A:$A,0))&gt;0,"Yes","No")</f>
        <v>Yes</v>
      </c>
    </row>
    <row r="32" customFormat="false" ht="15" hidden="false" customHeight="true" outlineLevel="0" collapsed="false">
      <c r="A32" s="14" t="s">
        <v>136</v>
      </c>
      <c r="B32" s="14" t="s">
        <v>134</v>
      </c>
      <c r="C32" s="4" t="str">
        <f aca="false">INDEX(Libraries!$C:$C,MATCH(A32,Libraries!$A:$A,0))</f>
        <v>National</v>
      </c>
      <c r="D32" s="4" t="str">
        <f aca="false">IF(INDEX(Libraries!$M:$M,MATCH(A32,Libraries!$A:$A,0))&gt;0,"Yes","No")</f>
        <v>Yes</v>
      </c>
    </row>
    <row r="33" customFormat="false" ht="15" hidden="false" customHeight="true" outlineLevel="0" collapsed="false">
      <c r="A33" s="14" t="s">
        <v>1940</v>
      </c>
      <c r="B33" s="14" t="s">
        <v>134</v>
      </c>
      <c r="C33" s="4" t="str">
        <f aca="false">INDEX(Libraries!$C:$C,MATCH(A33,Libraries!$A:$A,0))</f>
        <v>National</v>
      </c>
      <c r="D33" s="4" t="str">
        <f aca="false">IF(INDEX(Libraries!$M:$M,MATCH(A33,Libraries!$A:$A,0))&gt;0,"Yes","No")</f>
        <v>Yes</v>
      </c>
    </row>
    <row r="34" customFormat="false" ht="15" hidden="false" customHeight="true" outlineLevel="0" collapsed="false">
      <c r="A34" s="14" t="s">
        <v>1440</v>
      </c>
      <c r="B34" s="14" t="s">
        <v>1418</v>
      </c>
      <c r="C34" s="4" t="str">
        <f aca="false">INDEX(Libraries!$C:$C,MATCH(A34,Libraries!$A:$A,0))</f>
        <v>National</v>
      </c>
      <c r="D34" s="4" t="str">
        <f aca="false">IF(INDEX(Libraries!$M:$M,MATCH(A34,Libraries!$A:$A,0))&gt;0,"Yes","No")</f>
        <v>Yes</v>
      </c>
    </row>
    <row r="35" customFormat="false" ht="15" hidden="false" customHeight="true" outlineLevel="0" collapsed="false">
      <c r="A35" s="14" t="s">
        <v>2047</v>
      </c>
      <c r="B35" s="14" t="s">
        <v>1418</v>
      </c>
      <c r="C35" s="4" t="str">
        <f aca="false">INDEX(Libraries!$C:$C,MATCH(A35,Libraries!$A:$A,0))</f>
        <v>National</v>
      </c>
      <c r="D35" s="4" t="str">
        <f aca="false">IF(INDEX(Libraries!$M:$M,MATCH(A35,Libraries!$A:$A,0))&gt;0,"Yes","No")</f>
        <v>Yes</v>
      </c>
    </row>
    <row r="36" customFormat="false" ht="15" hidden="false" customHeight="true" outlineLevel="0" collapsed="false">
      <c r="A36" s="14" t="s">
        <v>635</v>
      </c>
      <c r="B36" s="14" t="s">
        <v>619</v>
      </c>
      <c r="C36" s="4" t="str">
        <f aca="false">INDEX(Libraries!$C:$C,MATCH(A36,Libraries!$A:$A,0))</f>
        <v>National</v>
      </c>
      <c r="D36" s="4" t="str">
        <f aca="false">IF(INDEX(Libraries!$M:$M,MATCH(A36,Libraries!$A:$A,0))&gt;0,"Yes","No")</f>
        <v>Yes</v>
      </c>
    </row>
    <row r="37" customFormat="false" ht="15" hidden="false" customHeight="true" outlineLevel="0" collapsed="false">
      <c r="A37" s="14" t="s">
        <v>1802</v>
      </c>
      <c r="B37" s="14" t="s">
        <v>588</v>
      </c>
      <c r="C37" s="4" t="str">
        <f aca="false">INDEX(Libraries!$C:$C,MATCH(A37,Libraries!$A:$A,0))</f>
        <v>National</v>
      </c>
      <c r="D37" s="4" t="str">
        <f aca="false">IF(INDEX(Libraries!$M:$M,MATCH(A37,Libraries!$A:$A,0))&gt;0,"Yes","No")</f>
        <v>Yes</v>
      </c>
    </row>
    <row r="38" customFormat="false" ht="15" hidden="false" customHeight="true" outlineLevel="0" collapsed="false">
      <c r="A38" s="14" t="s">
        <v>330</v>
      </c>
      <c r="B38" s="14" t="s">
        <v>301</v>
      </c>
      <c r="C38" s="4" t="str">
        <f aca="false">INDEX(Libraries!$C:$C,MATCH(A38,Libraries!$A:$A,0))</f>
        <v>National</v>
      </c>
      <c r="D38" s="4" t="str">
        <f aca="false">IF(INDEX(Libraries!$M:$M,MATCH(A38,Libraries!$A:$A,0))&gt;0,"Yes","No")</f>
        <v>Yes</v>
      </c>
    </row>
    <row r="39" customFormat="false" ht="15" hidden="false" customHeight="true" outlineLevel="0" collapsed="false">
      <c r="A39" s="14" t="s">
        <v>251</v>
      </c>
      <c r="B39" s="14" t="s">
        <v>228</v>
      </c>
      <c r="C39" s="4" t="str">
        <f aca="false">INDEX(Libraries!$C:$C,MATCH(A39,Libraries!$A:$A,0))</f>
        <v>National</v>
      </c>
      <c r="D39" s="4" t="str">
        <f aca="false">IF(INDEX(Libraries!$M:$M,MATCH(A39,Libraries!$A:$A,0))&gt;0,"Yes","No")</f>
        <v>Yes</v>
      </c>
    </row>
    <row r="40" customFormat="false" ht="15" hidden="false" customHeight="true" outlineLevel="0" collapsed="false">
      <c r="A40" s="14" t="s">
        <v>2028</v>
      </c>
      <c r="B40" s="14" t="s">
        <v>2201</v>
      </c>
      <c r="C40" s="4" t="str">
        <f aca="false">INDEX(Libraries!$C:$C,MATCH(A40,Libraries!$A:$A,0))</f>
        <v>National</v>
      </c>
      <c r="D40" s="4" t="str">
        <f aca="false">IF(INDEX(Libraries!$M:$M,MATCH(A40,Libraries!$A:$A,0))&gt;0,"Yes","No")</f>
        <v>Yes</v>
      </c>
    </row>
    <row r="41" customFormat="false" ht="15" hidden="false" customHeight="true" outlineLevel="0" collapsed="false">
      <c r="A41" s="14" t="s">
        <v>408</v>
      </c>
      <c r="B41" s="14" t="s">
        <v>2203</v>
      </c>
      <c r="C41" s="4" t="str">
        <f aca="false">INDEX(Libraries!$C:$C,MATCH(A41,Libraries!$A:$A,0))</f>
        <v>National</v>
      </c>
      <c r="D41" s="4" t="str">
        <f aca="false">IF(INDEX(Libraries!$M:$M,MATCH(A41,Libraries!$A:$A,0))&gt;0,"Yes","No")</f>
        <v>Yes</v>
      </c>
    </row>
    <row r="42" customFormat="false" ht="15" hidden="false" customHeight="true" outlineLevel="0" collapsed="false">
      <c r="A42" s="14" t="s">
        <v>129</v>
      </c>
      <c r="B42" s="14" t="s">
        <v>2203</v>
      </c>
      <c r="C42" s="4" t="str">
        <f aca="false">INDEX(Libraries!$C:$C,MATCH(A42,Libraries!$A:$A,0))</f>
        <v>National</v>
      </c>
      <c r="D42" s="4" t="str">
        <f aca="false">IF(INDEX(Libraries!$M:$M,MATCH(A42,Libraries!$A:$A,0))&gt;0,"Yes","No")</f>
        <v>Yes</v>
      </c>
    </row>
    <row r="43" customFormat="false" ht="15" hidden="false" customHeight="true" outlineLevel="0" collapsed="false">
      <c r="A43" s="14" t="s">
        <v>792</v>
      </c>
      <c r="B43" s="14" t="s">
        <v>882</v>
      </c>
      <c r="C43" s="4" t="str">
        <f aca="false">INDEX(Libraries!$C:$C,MATCH(A43,Libraries!$A:$A,0))</f>
        <v>Sub-national</v>
      </c>
      <c r="D43" s="4" t="str">
        <f aca="false">IF(INDEX(Libraries!$M:$M,MATCH(A43,Libraries!$A:$A,0))&gt;0,"Yes","No")</f>
        <v>Yes</v>
      </c>
    </row>
    <row r="44" customFormat="false" ht="15" hidden="false" customHeight="true" outlineLevel="0" collapsed="false">
      <c r="A44" s="14" t="s">
        <v>762</v>
      </c>
      <c r="B44" s="14" t="s">
        <v>882</v>
      </c>
      <c r="C44" s="4" t="str">
        <f aca="false">INDEX(Libraries!$C:$C,MATCH(A44,Libraries!$A:$A,0))</f>
        <v>Sub-national</v>
      </c>
      <c r="D44" s="4" t="str">
        <f aca="false">IF(INDEX(Libraries!$M:$M,MATCH(A44,Libraries!$A:$A,0))&gt;0,"Yes","No")</f>
        <v>Yes</v>
      </c>
    </row>
    <row r="45" customFormat="false" ht="15" hidden="false" customHeight="true" outlineLevel="0" collapsed="false">
      <c r="A45" s="14" t="s">
        <v>1738</v>
      </c>
      <c r="B45" s="14" t="s">
        <v>142</v>
      </c>
      <c r="C45" s="4" t="str">
        <f aca="false">INDEX(Libraries!$C:$C,MATCH(A45,Libraries!$A:$A,0))</f>
        <v>Sub-national</v>
      </c>
      <c r="D45" s="4" t="str">
        <f aca="false">IF(INDEX(Libraries!$M:$M,MATCH(A45,Libraries!$A:$A,0))&gt;0,"Yes","No")</f>
        <v>Yes</v>
      </c>
    </row>
    <row r="46" customFormat="false" ht="15" hidden="false" customHeight="true" outlineLevel="0" collapsed="false">
      <c r="A46" s="14" t="s">
        <v>1053</v>
      </c>
      <c r="B46" s="14" t="s">
        <v>142</v>
      </c>
      <c r="C46" s="4" t="str">
        <f aca="false">INDEX(Libraries!$C:$C,MATCH(A46,Libraries!$A:$A,0))</f>
        <v>Sub-national</v>
      </c>
      <c r="D46" s="4" t="str">
        <f aca="false">IF(INDEX(Libraries!$M:$M,MATCH(A46,Libraries!$A:$A,0))&gt;0,"Yes","No")</f>
        <v>Yes</v>
      </c>
    </row>
    <row r="47" customFormat="false" ht="15" hidden="false" customHeight="true" outlineLevel="0" collapsed="false">
      <c r="A47" s="14" t="s">
        <v>557</v>
      </c>
      <c r="B47" s="14" t="s">
        <v>142</v>
      </c>
      <c r="C47" s="4" t="str">
        <f aca="false">INDEX(Libraries!$C:$C,MATCH(A47,Libraries!$A:$A,0))</f>
        <v>Sub-national</v>
      </c>
      <c r="D47" s="4" t="str">
        <f aca="false">IF(INDEX(Libraries!$M:$M,MATCH(A47,Libraries!$A:$A,0))&gt;0,"Yes","No")</f>
        <v>Yes</v>
      </c>
    </row>
    <row r="48" customFormat="false" ht="15" hidden="false" customHeight="true" outlineLevel="0" collapsed="false">
      <c r="A48" s="14" t="s">
        <v>850</v>
      </c>
      <c r="B48" s="14" t="s">
        <v>142</v>
      </c>
      <c r="C48" s="4" t="str">
        <f aca="false">INDEX(Libraries!$C:$C,MATCH(A48,Libraries!$A:$A,0))</f>
        <v>Sub-national</v>
      </c>
      <c r="D48" s="4" t="str">
        <f aca="false">IF(INDEX(Libraries!$M:$M,MATCH(A48,Libraries!$A:$A,0))&gt;0,"Yes","No")</f>
        <v>Yes</v>
      </c>
    </row>
    <row r="49" customFormat="false" ht="15" hidden="false" customHeight="true" outlineLevel="0" collapsed="false">
      <c r="A49" s="14" t="s">
        <v>2097</v>
      </c>
      <c r="B49" s="14" t="s">
        <v>1985</v>
      </c>
      <c r="C49" s="4" t="str">
        <f aca="false">INDEX(Libraries!$C:$C,MATCH(A49,Libraries!$A:$A,0))</f>
        <v>Sub-national</v>
      </c>
      <c r="D49" s="4" t="str">
        <f aca="false">IF(INDEX(Libraries!$M:$M,MATCH(A49,Libraries!$A:$A,0))&gt;0,"Yes","No")</f>
        <v>Yes</v>
      </c>
    </row>
    <row r="50" customFormat="false" ht="15" hidden="false" customHeight="true" outlineLevel="0" collapsed="false">
      <c r="A50" s="14" t="s">
        <v>1387</v>
      </c>
      <c r="B50" s="14" t="s">
        <v>563</v>
      </c>
      <c r="C50" s="4" t="str">
        <f aca="false">INDEX(Libraries!$C:$C,MATCH(A50,Libraries!$A:$A,0))</f>
        <v>Sub-national</v>
      </c>
      <c r="D50" s="4" t="str">
        <f aca="false">IF(INDEX(Libraries!$M:$M,MATCH(A50,Libraries!$A:$A,0))&gt;0,"Yes","No")</f>
        <v>Yes</v>
      </c>
    </row>
    <row r="51" customFormat="false" ht="15" hidden="false" customHeight="true" outlineLevel="0" collapsed="false">
      <c r="A51" s="14" t="s">
        <v>1636</v>
      </c>
      <c r="B51" s="14" t="s">
        <v>563</v>
      </c>
      <c r="C51" s="4" t="str">
        <f aca="false">INDEX(Libraries!$C:$C,MATCH(A51,Libraries!$A:$A,0))</f>
        <v>Sub-national</v>
      </c>
      <c r="D51" s="4" t="str">
        <f aca="false">IF(INDEX(Libraries!$M:$M,MATCH(A51,Libraries!$A:$A,0))&gt;0,"Yes","No")</f>
        <v>Yes</v>
      </c>
    </row>
    <row r="52" customFormat="false" ht="15" hidden="false" customHeight="true" outlineLevel="0" collapsed="false">
      <c r="A52" s="14" t="s">
        <v>1220</v>
      </c>
      <c r="B52" s="14" t="s">
        <v>563</v>
      </c>
      <c r="C52" s="4" t="str">
        <f aca="false">INDEX(Libraries!$C:$C,MATCH(A52,Libraries!$A:$A,0))</f>
        <v>Sub-national</v>
      </c>
      <c r="D52" s="4" t="str">
        <f aca="false">IF(INDEX(Libraries!$M:$M,MATCH(A52,Libraries!$A:$A,0))&gt;0,"Yes","No")</f>
        <v>Yes</v>
      </c>
    </row>
    <row r="53" customFormat="false" ht="15" hidden="false" customHeight="true" outlineLevel="0" collapsed="false">
      <c r="A53" s="14" t="s">
        <v>915</v>
      </c>
      <c r="B53" s="14" t="s">
        <v>563</v>
      </c>
      <c r="C53" s="4" t="str">
        <f aca="false">INDEX(Libraries!$C:$C,MATCH(A53,Libraries!$A:$A,0))</f>
        <v>Sub-national</v>
      </c>
      <c r="D53" s="4" t="str">
        <f aca="false">IF(INDEX(Libraries!$M:$M,MATCH(A53,Libraries!$A:$A,0))&gt;0,"Yes","No")</f>
        <v>Yes</v>
      </c>
    </row>
    <row r="54" customFormat="false" ht="15" hidden="false" customHeight="true" outlineLevel="0" collapsed="false">
      <c r="A54" s="14" t="s">
        <v>120</v>
      </c>
      <c r="B54" s="14" t="s">
        <v>2236</v>
      </c>
      <c r="C54" s="4" t="str">
        <f aca="false">INDEX(Libraries!$C:$C,MATCH(A54,Libraries!$A:$A,0))</f>
        <v>Sub-national</v>
      </c>
      <c r="D54" s="4" t="str">
        <f aca="false">IF(INDEX(Libraries!$M:$M,MATCH(A54,Libraries!$A:$A,0))&gt;0,"Yes","No")</f>
        <v>Yes</v>
      </c>
    </row>
    <row r="55" customFormat="false" ht="15" hidden="false" customHeight="true" outlineLevel="0" collapsed="false">
      <c r="A55" s="14" t="s">
        <v>434</v>
      </c>
      <c r="B55" s="14" t="s">
        <v>2236</v>
      </c>
      <c r="C55" s="4" t="str">
        <f aca="false">INDEX(Libraries!$C:$C,MATCH(A55,Libraries!$A:$A,0))</f>
        <v>Sub-national</v>
      </c>
      <c r="D55" s="4" t="str">
        <f aca="false">IF(INDEX(Libraries!$M:$M,MATCH(A55,Libraries!$A:$A,0))&gt;0,"Yes","No")</f>
        <v>Yes</v>
      </c>
    </row>
    <row r="56" customFormat="false" ht="15" hidden="false" customHeight="true" outlineLevel="0" collapsed="false">
      <c r="A56" s="14" t="s">
        <v>1079</v>
      </c>
      <c r="B56" s="14" t="s">
        <v>2242</v>
      </c>
      <c r="C56" s="4" t="str">
        <f aca="false">INDEX(Libraries!$C:$C,MATCH(A56,Libraries!$A:$A,0))</f>
        <v>Sub-national</v>
      </c>
      <c r="D56" s="4" t="str">
        <f aca="false">IF(INDEX(Libraries!$M:$M,MATCH(A56,Libraries!$A:$A,0))&gt;0,"Yes","No")</f>
        <v>Yes</v>
      </c>
    </row>
    <row r="57" customFormat="false" ht="15" hidden="false" customHeight="true" outlineLevel="0" collapsed="false">
      <c r="A57" s="14" t="s">
        <v>2012</v>
      </c>
      <c r="B57" s="14" t="s">
        <v>2247</v>
      </c>
      <c r="C57" s="4" t="str">
        <f aca="false">INDEX(Libraries!$C:$C,MATCH(A57,Libraries!$A:$A,0))</f>
        <v>Sub-national</v>
      </c>
      <c r="D57" s="4" t="str">
        <f aca="false">IF(INDEX(Libraries!$M:$M,MATCH(A57,Libraries!$A:$A,0))&gt;0,"Yes","No")</f>
        <v>Yes</v>
      </c>
    </row>
    <row r="58" customFormat="false" ht="15" hidden="false" customHeight="true" outlineLevel="0" collapsed="false">
      <c r="A58" s="14" t="s">
        <v>534</v>
      </c>
      <c r="B58" s="14" t="s">
        <v>513</v>
      </c>
      <c r="C58" s="4" t="str">
        <f aca="false">INDEX(Libraries!$C:$C,MATCH(A58,Libraries!$A:$A,0))</f>
        <v>Sub-national</v>
      </c>
      <c r="D58" s="4" t="str">
        <f aca="false">IF(INDEX(Libraries!$M:$M,MATCH(A58,Libraries!$A:$A,0))&gt;0,"Yes","No")</f>
        <v>Yes</v>
      </c>
    </row>
    <row r="59" customFormat="false" ht="15" hidden="false" customHeight="true" outlineLevel="0" collapsed="false">
      <c r="A59" s="14" t="s">
        <v>1493</v>
      </c>
      <c r="B59" s="14" t="s">
        <v>1476</v>
      </c>
      <c r="C59" s="4" t="str">
        <f aca="false">INDEX(Libraries!$C:$C,MATCH(A59,Libraries!$A:$A,0))</f>
        <v>Sub-national</v>
      </c>
      <c r="D59" s="4" t="str">
        <f aca="false">IF(INDEX(Libraries!$M:$M,MATCH(A59,Libraries!$A:$A,0))&gt;0,"Yes","No")</f>
        <v>Yes</v>
      </c>
    </row>
    <row r="60" customFormat="false" ht="15" hidden="false" customHeight="true" outlineLevel="0" collapsed="false">
      <c r="A60" s="14" t="s">
        <v>363</v>
      </c>
      <c r="B60" s="14" t="s">
        <v>344</v>
      </c>
      <c r="C60" s="4" t="str">
        <f aca="false">INDEX(Libraries!$C:$C,MATCH(A60,Libraries!$A:$A,0))</f>
        <v>Sub-national</v>
      </c>
      <c r="D60" s="4" t="str">
        <f aca="false">IF(INDEX(Libraries!$M:$M,MATCH(A60,Libraries!$A:$A,0))&gt;0,"Yes","No")</f>
        <v>Yes</v>
      </c>
    </row>
    <row r="61" customFormat="false" ht="15" hidden="false" customHeight="true" outlineLevel="0" collapsed="false">
      <c r="A61" s="14" t="s">
        <v>1530</v>
      </c>
      <c r="B61" s="14" t="s">
        <v>228</v>
      </c>
      <c r="C61" s="4" t="str">
        <f aca="false">INDEX(Libraries!$C:$C,MATCH(A61,Libraries!$A:$A,0))</f>
        <v>Sub-national</v>
      </c>
      <c r="D61" s="4" t="str">
        <f aca="false">IF(INDEX(Libraries!$M:$M,MATCH(A61,Libraries!$A:$A,0))&gt;0,"Yes","No")</f>
        <v>Yes</v>
      </c>
    </row>
    <row r="62" customFormat="false" ht="15" hidden="false" customHeight="true" outlineLevel="0" collapsed="false">
      <c r="A62" s="14" t="s">
        <v>1544</v>
      </c>
      <c r="B62" s="14" t="s">
        <v>2203</v>
      </c>
      <c r="C62" s="4" t="str">
        <f aca="false">INDEX(Libraries!$C:$C,MATCH(A62,Libraries!$A:$A,0))</f>
        <v>Sub-national</v>
      </c>
      <c r="D62" s="4" t="str">
        <f aca="false">IF(INDEX(Libraries!$M:$M,MATCH(A62,Libraries!$A:$A,0))&gt;0,"Yes","No")</f>
        <v>Yes</v>
      </c>
    </row>
    <row r="63" customFormat="false" ht="15" hidden="false" customHeight="true" outlineLevel="0" collapsed="false">
      <c r="A63" s="14" t="s">
        <v>1774</v>
      </c>
      <c r="B63" s="14" t="s">
        <v>1757</v>
      </c>
      <c r="C63" s="4" t="str">
        <f aca="false">INDEX(Libraries!$C:$C,MATCH(A63,Libraries!$A:$A,0))</f>
        <v>Sub-national</v>
      </c>
      <c r="D63" s="4" t="str">
        <f aca="false">IF(INDEX(Libraries!$M:$M,MATCH(A63,Libraries!$A:$A,0))&gt;0,"Yes","No")</f>
        <v>Yes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5"/>
    <col collapsed="false" customWidth="true" hidden="false" outlineLevel="0" max="4" min="3" style="1" width="10"/>
    <col collapsed="false" customWidth="true" hidden="false" outlineLevel="0" max="6" min="5" style="1" width="11"/>
    <col collapsed="false" customWidth="true" hidden="false" outlineLevel="0" max="7" min="7" style="1" width="20"/>
    <col collapsed="false" customWidth="true" hidden="false" outlineLevel="0" max="8" min="8" style="1" width="60"/>
  </cols>
  <sheetData>
    <row r="1" customFormat="false" ht="23.25" hidden="false" customHeight="true" outlineLevel="0" collapsed="false">
      <c r="A1" s="9" t="s">
        <v>2265</v>
      </c>
      <c r="B1" s="9" t="s">
        <v>56</v>
      </c>
      <c r="C1" s="9" t="s">
        <v>15</v>
      </c>
      <c r="D1" s="9" t="s">
        <v>23</v>
      </c>
      <c r="E1" s="9" t="s">
        <v>24</v>
      </c>
      <c r="F1" s="9" t="s">
        <v>22</v>
      </c>
      <c r="G1" s="9" t="s">
        <v>2282</v>
      </c>
      <c r="H1" s="9" t="s">
        <v>2283</v>
      </c>
    </row>
    <row r="2" customFormat="false" ht="15" hidden="false" customHeight="true" outlineLevel="0" collapsed="false">
      <c r="A2" s="7" t="s">
        <v>142</v>
      </c>
      <c r="B2" s="7" t="s">
        <v>143</v>
      </c>
      <c r="C2" s="7" t="n">
        <f aca="false">COUNTIFS('Library countries'!$B$2:$B$63,A2,'Library countries'!$D$2:$D$63,"Yes")</f>
        <v>6</v>
      </c>
      <c r="D2" s="7" t="n">
        <f aca="false">COUNTIFS('Library countries'!$B$2:$B$63,A2,'Library countries'!$C$2:$C$63,"National",'Library countries'!$D$2:$D$63,"Yes")</f>
        <v>2</v>
      </c>
      <c r="E2" s="7" t="n">
        <f aca="false">COUNTIFS('Library countries'!$B$2:$B$63,A2,'Library countries'!$C$2:$C$63,"Sub-national",'Library countries'!$D$2:$D$63,"Yes")</f>
        <v>4</v>
      </c>
      <c r="F2" s="7" t="n">
        <f aca="false">COUNTIFS('Library countries'!$B$2:$B$63,A2,'Library countries'!$C$2:$C$63,"Multi-country",'Library countries'!$D$2:$D$63,"Yes")</f>
        <v>0</v>
      </c>
      <c r="G2" s="7" t="str">
        <f aca="false">IF(D2&gt;0,"National",IF(E2&gt;0,"Sub-national only",IF(F2&gt;0,"Multi-country only","None")))</f>
        <v>National</v>
      </c>
      <c r="H2" s="7" t="s">
        <v>2284</v>
      </c>
    </row>
    <row r="3" customFormat="false" ht="15" hidden="false" customHeight="true" outlineLevel="0" collapsed="false">
      <c r="A3" s="7" t="s">
        <v>563</v>
      </c>
      <c r="B3" s="7" t="s">
        <v>126</v>
      </c>
      <c r="C3" s="7" t="n">
        <f aca="false">COUNTIFS('Library countries'!$B$2:$B$63,A3,'Library countries'!$D$2:$D$63,"Yes")</f>
        <v>5</v>
      </c>
      <c r="D3" s="7" t="n">
        <f aca="false">COUNTIFS('Library countries'!$B$2:$B$63,A3,'Library countries'!$C$2:$C$63,"National",'Library countries'!$D$2:$D$63,"Yes")</f>
        <v>1</v>
      </c>
      <c r="E3" s="7" t="n">
        <f aca="false">COUNTIFS('Library countries'!$B$2:$B$63,A3,'Library countries'!$C$2:$C$63,"Sub-national",'Library countries'!$D$2:$D$63,"Yes")</f>
        <v>4</v>
      </c>
      <c r="F3" s="7" t="n">
        <f aca="false">COUNTIFS('Library countries'!$B$2:$B$63,A3,'Library countries'!$C$2:$C$63,"Multi-country",'Library countries'!$D$2:$D$63,"Yes")</f>
        <v>0</v>
      </c>
      <c r="G3" s="7" t="str">
        <f aca="false">IF(D3&gt;0,"National",IF(E3&gt;0,"Sub-national only",IF(F3&gt;0,"Multi-country only","None")))</f>
        <v>National</v>
      </c>
      <c r="H3" s="7" t="s">
        <v>2285</v>
      </c>
    </row>
    <row r="4" customFormat="false" ht="15" hidden="false" customHeight="true" outlineLevel="0" collapsed="false">
      <c r="A4" s="7" t="s">
        <v>882</v>
      </c>
      <c r="B4" s="7" t="s">
        <v>229</v>
      </c>
      <c r="C4" s="7" t="n">
        <f aca="false">COUNTIFS('Library countries'!$B$2:$B$63,A4,'Library countries'!$D$2:$D$63,"Yes")</f>
        <v>4</v>
      </c>
      <c r="D4" s="7" t="n">
        <f aca="false">COUNTIFS('Library countries'!$B$2:$B$63,A4,'Library countries'!$C$2:$C$63,"National",'Library countries'!$D$2:$D$63,"Yes")</f>
        <v>2</v>
      </c>
      <c r="E4" s="7" t="n">
        <f aca="false">COUNTIFS('Library countries'!$B$2:$B$63,A4,'Library countries'!$C$2:$C$63,"Sub-national",'Library countries'!$D$2:$D$63,"Yes")</f>
        <v>2</v>
      </c>
      <c r="F4" s="7" t="n">
        <f aca="false">COUNTIFS('Library countries'!$B$2:$B$63,A4,'Library countries'!$C$2:$C$63,"Multi-country",'Library countries'!$D$2:$D$63,"Yes")</f>
        <v>0</v>
      </c>
      <c r="G4" s="7" t="str">
        <f aca="false">IF(D4&gt;0,"National",IF(E4&gt;0,"Sub-national only",IF(F4&gt;0,"Multi-country only","None")))</f>
        <v>National</v>
      </c>
      <c r="H4" s="7" t="s">
        <v>2286</v>
      </c>
    </row>
    <row r="5" customFormat="false" ht="15" hidden="false" customHeight="true" outlineLevel="0" collapsed="false">
      <c r="A5" s="7" t="s">
        <v>2203</v>
      </c>
      <c r="B5" s="7" t="s">
        <v>467</v>
      </c>
      <c r="C5" s="7" t="n">
        <f aca="false">COUNTIFS('Library countries'!$B$2:$B$63,A5,'Library countries'!$D$2:$D$63,"Yes")</f>
        <v>3</v>
      </c>
      <c r="D5" s="7" t="n">
        <f aca="false">COUNTIFS('Library countries'!$B$2:$B$63,A5,'Library countries'!$C$2:$C$63,"National",'Library countries'!$D$2:$D$63,"Yes")</f>
        <v>2</v>
      </c>
      <c r="E5" s="7" t="n">
        <f aca="false">COUNTIFS('Library countries'!$B$2:$B$63,A5,'Library countries'!$C$2:$C$63,"Sub-national",'Library countries'!$D$2:$D$63,"Yes")</f>
        <v>1</v>
      </c>
      <c r="F5" s="7" t="n">
        <f aca="false">COUNTIFS('Library countries'!$B$2:$B$63,A5,'Library countries'!$C$2:$C$63,"Multi-country",'Library countries'!$D$2:$D$63,"Yes")</f>
        <v>0</v>
      </c>
      <c r="G5" s="7" t="str">
        <f aca="false">IF(D5&gt;0,"National",IF(E5&gt;0,"Sub-national only",IF(F5&gt;0,"Multi-country only","None")))</f>
        <v>National</v>
      </c>
      <c r="H5" s="7" t="s">
        <v>2287</v>
      </c>
    </row>
    <row r="6" customFormat="false" ht="15" hidden="false" customHeight="true" outlineLevel="0" collapsed="false">
      <c r="A6" s="7" t="s">
        <v>2175</v>
      </c>
      <c r="B6" s="7" t="s">
        <v>135</v>
      </c>
      <c r="C6" s="7" t="n">
        <f aca="false">COUNTIFS('Library countries'!$B$2:$B$63,A6,'Library countries'!$D$2:$D$63,"Yes")</f>
        <v>2</v>
      </c>
      <c r="D6" s="7" t="n">
        <f aca="false">COUNTIFS('Library countries'!$B$2:$B$63,A6,'Library countries'!$C$2:$C$63,"National",'Library countries'!$D$2:$D$63,"Yes")</f>
        <v>2</v>
      </c>
      <c r="E6" s="7" t="n">
        <f aca="false">COUNTIFS('Library countries'!$B$2:$B$63,A6,'Library countries'!$C$2:$C$63,"Sub-national",'Library countries'!$D$2:$D$63,"Yes")</f>
        <v>0</v>
      </c>
      <c r="F6" s="7" t="n">
        <f aca="false">COUNTIFS('Library countries'!$B$2:$B$63,A6,'Library countries'!$C$2:$C$63,"Multi-country",'Library countries'!$D$2:$D$63,"Yes")</f>
        <v>0</v>
      </c>
      <c r="G6" s="7" t="str">
        <f aca="false">IF(D6&gt;0,"National",IF(E6&gt;0,"Sub-national only",IF(F6&gt;0,"Multi-country only","None")))</f>
        <v>National</v>
      </c>
      <c r="H6" s="7" t="s">
        <v>2288</v>
      </c>
    </row>
    <row r="7" customFormat="false" ht="15" hidden="false" customHeight="true" outlineLevel="0" collapsed="false">
      <c r="A7" s="7" t="s">
        <v>134</v>
      </c>
      <c r="B7" s="7" t="s">
        <v>135</v>
      </c>
      <c r="C7" s="7" t="n">
        <f aca="false">COUNTIFS('Library countries'!$B$2:$B$63,A7,'Library countries'!$D$2:$D$63,"Yes")</f>
        <v>2</v>
      </c>
      <c r="D7" s="7" t="n">
        <f aca="false">COUNTIFS('Library countries'!$B$2:$B$63,A7,'Library countries'!$C$2:$C$63,"National",'Library countries'!$D$2:$D$63,"Yes")</f>
        <v>2</v>
      </c>
      <c r="E7" s="7" t="n">
        <f aca="false">COUNTIFS('Library countries'!$B$2:$B$63,A7,'Library countries'!$C$2:$C$63,"Sub-national",'Library countries'!$D$2:$D$63,"Yes")</f>
        <v>0</v>
      </c>
      <c r="F7" s="7" t="n">
        <f aca="false">COUNTIFS('Library countries'!$B$2:$B$63,A7,'Library countries'!$C$2:$C$63,"Multi-country",'Library countries'!$D$2:$D$63,"Yes")</f>
        <v>0</v>
      </c>
      <c r="G7" s="7" t="str">
        <f aca="false">IF(D7&gt;0,"National",IF(E7&gt;0,"Sub-national only",IF(F7&gt;0,"Multi-country only","None")))</f>
        <v>National</v>
      </c>
      <c r="H7" s="7" t="s">
        <v>2289</v>
      </c>
    </row>
    <row r="8" customFormat="false" ht="15" hidden="false" customHeight="true" outlineLevel="0" collapsed="false">
      <c r="A8" s="7" t="s">
        <v>1418</v>
      </c>
      <c r="B8" s="7" t="s">
        <v>135</v>
      </c>
      <c r="C8" s="7" t="n">
        <f aca="false">COUNTIFS('Library countries'!$B$2:$B$63,A8,'Library countries'!$D$2:$D$63,"Yes")</f>
        <v>2</v>
      </c>
      <c r="D8" s="7" t="n">
        <f aca="false">COUNTIFS('Library countries'!$B$2:$B$63,A8,'Library countries'!$C$2:$C$63,"National",'Library countries'!$D$2:$D$63,"Yes")</f>
        <v>2</v>
      </c>
      <c r="E8" s="7" t="n">
        <f aca="false">COUNTIFS('Library countries'!$B$2:$B$63,A8,'Library countries'!$C$2:$C$63,"Sub-national",'Library countries'!$D$2:$D$63,"Yes")</f>
        <v>0</v>
      </c>
      <c r="F8" s="7" t="n">
        <f aca="false">COUNTIFS('Library countries'!$B$2:$B$63,A8,'Library countries'!$C$2:$C$63,"Multi-country",'Library countries'!$D$2:$D$63,"Yes")</f>
        <v>0</v>
      </c>
      <c r="G8" s="7" t="str">
        <f aca="false">IF(D8&gt;0,"National",IF(E8&gt;0,"Sub-national only",IF(F8&gt;0,"Multi-country only","None")))</f>
        <v>National</v>
      </c>
      <c r="H8" s="7" t="s">
        <v>2290</v>
      </c>
    </row>
    <row r="9" customFormat="false" ht="15" hidden="false" customHeight="true" outlineLevel="0" collapsed="false">
      <c r="A9" s="7" t="s">
        <v>301</v>
      </c>
      <c r="B9" s="7" t="s">
        <v>126</v>
      </c>
      <c r="C9" s="7" t="n">
        <f aca="false">COUNTIFS('Library countries'!$B$2:$B$63,A9,'Library countries'!$D$2:$D$63,"Yes")</f>
        <v>2</v>
      </c>
      <c r="D9" s="7" t="n">
        <f aca="false">COUNTIFS('Library countries'!$B$2:$B$63,A9,'Library countries'!$C$2:$C$63,"National",'Library countries'!$D$2:$D$63,"Yes")</f>
        <v>1</v>
      </c>
      <c r="E9" s="7" t="n">
        <f aca="false">COUNTIFS('Library countries'!$B$2:$B$63,A9,'Library countries'!$C$2:$C$63,"Sub-national",'Library countries'!$D$2:$D$63,"Yes")</f>
        <v>0</v>
      </c>
      <c r="F9" s="7" t="n">
        <f aca="false">COUNTIFS('Library countries'!$B$2:$B$63,A9,'Library countries'!$C$2:$C$63,"Multi-country",'Library countries'!$D$2:$D$63,"Yes")</f>
        <v>1</v>
      </c>
      <c r="G9" s="7" t="str">
        <f aca="false">IF(D9&gt;0,"National",IF(E9&gt;0,"Sub-national only",IF(F9&gt;0,"Multi-country only","None")))</f>
        <v>National</v>
      </c>
      <c r="H9" s="7" t="s">
        <v>2291</v>
      </c>
    </row>
    <row r="10" customFormat="false" ht="15" hidden="false" customHeight="true" outlineLevel="0" collapsed="false">
      <c r="A10" s="7" t="s">
        <v>228</v>
      </c>
      <c r="B10" s="7" t="s">
        <v>229</v>
      </c>
      <c r="C10" s="7" t="n">
        <f aca="false">COUNTIFS('Library countries'!$B$2:$B$63,A10,'Library countries'!$D$2:$D$63,"Yes")</f>
        <v>2</v>
      </c>
      <c r="D10" s="7" t="n">
        <f aca="false">COUNTIFS('Library countries'!$B$2:$B$63,A10,'Library countries'!$C$2:$C$63,"National",'Library countries'!$D$2:$D$63,"Yes")</f>
        <v>1</v>
      </c>
      <c r="E10" s="7" t="n">
        <f aca="false">COUNTIFS('Library countries'!$B$2:$B$63,A10,'Library countries'!$C$2:$C$63,"Sub-national",'Library countries'!$D$2:$D$63,"Yes")</f>
        <v>1</v>
      </c>
      <c r="F10" s="7" t="n">
        <f aca="false">COUNTIFS('Library countries'!$B$2:$B$63,A10,'Library countries'!$C$2:$C$63,"Multi-country",'Library countries'!$D$2:$D$63,"Yes")</f>
        <v>0</v>
      </c>
      <c r="G10" s="7" t="str">
        <f aca="false">IF(D10&gt;0,"National",IF(E10&gt;0,"Sub-national only",IF(F10&gt;0,"Multi-country only","None")))</f>
        <v>National</v>
      </c>
      <c r="H10" s="7" t="s">
        <v>2292</v>
      </c>
    </row>
    <row r="11" customFormat="false" ht="15" hidden="false" customHeight="true" outlineLevel="0" collapsed="false">
      <c r="A11" s="7" t="s">
        <v>927</v>
      </c>
      <c r="B11" s="7" t="s">
        <v>135</v>
      </c>
      <c r="C11" s="7" t="n">
        <f aca="false">COUNTIFS('Library countries'!$B$2:$B$63,A11,'Library countries'!$D$2:$D$63,"Yes")</f>
        <v>1</v>
      </c>
      <c r="D11" s="7" t="n">
        <f aca="false">COUNTIFS('Library countries'!$B$2:$B$63,A11,'Library countries'!$C$2:$C$63,"National",'Library countries'!$D$2:$D$63,"Yes")</f>
        <v>1</v>
      </c>
      <c r="E11" s="7" t="n">
        <f aca="false">COUNTIFS('Library countries'!$B$2:$B$63,A11,'Library countries'!$C$2:$C$63,"Sub-national",'Library countries'!$D$2:$D$63,"Yes")</f>
        <v>0</v>
      </c>
      <c r="F11" s="7" t="n">
        <f aca="false">COUNTIFS('Library countries'!$B$2:$B$63,A11,'Library countries'!$C$2:$C$63,"Multi-country",'Library countries'!$D$2:$D$63,"Yes")</f>
        <v>0</v>
      </c>
      <c r="G11" s="7" t="str">
        <f aca="false">IF(D11&gt;0,"National",IF(E11&gt;0,"Sub-national only",IF(F11&gt;0,"Multi-country only","None")))</f>
        <v>National</v>
      </c>
      <c r="H11" s="7" t="s">
        <v>949</v>
      </c>
    </row>
    <row r="12" customFormat="false" ht="15" hidden="false" customHeight="true" outlineLevel="0" collapsed="false">
      <c r="A12" s="7" t="s">
        <v>1129</v>
      </c>
      <c r="B12" s="7" t="s">
        <v>135</v>
      </c>
      <c r="C12" s="7" t="n">
        <f aca="false">COUNTIFS('Library countries'!$B$2:$B$63,A12,'Library countries'!$D$2:$D$63,"Yes")</f>
        <v>1</v>
      </c>
      <c r="D12" s="7" t="n">
        <f aca="false">COUNTIFS('Library countries'!$B$2:$B$63,A12,'Library countries'!$C$2:$C$63,"National",'Library countries'!$D$2:$D$63,"Yes")</f>
        <v>1</v>
      </c>
      <c r="E12" s="7" t="n">
        <f aca="false">COUNTIFS('Library countries'!$B$2:$B$63,A12,'Library countries'!$C$2:$C$63,"Sub-national",'Library countries'!$D$2:$D$63,"Yes")</f>
        <v>0</v>
      </c>
      <c r="F12" s="7" t="n">
        <f aca="false">COUNTIFS('Library countries'!$B$2:$B$63,A12,'Library countries'!$C$2:$C$63,"Multi-country",'Library countries'!$D$2:$D$63,"Yes")</f>
        <v>0</v>
      </c>
      <c r="G12" s="7" t="str">
        <f aca="false">IF(D12&gt;0,"National",IF(E12&gt;0,"Sub-national only",IF(F12&gt;0,"Multi-country only","None")))</f>
        <v>National</v>
      </c>
      <c r="H12" s="7" t="s">
        <v>1147</v>
      </c>
    </row>
    <row r="13" customFormat="false" ht="15" hidden="false" customHeight="true" outlineLevel="0" collapsed="false">
      <c r="A13" s="7" t="s">
        <v>619</v>
      </c>
      <c r="B13" s="7" t="s">
        <v>126</v>
      </c>
      <c r="C13" s="7" t="n">
        <f aca="false">COUNTIFS('Library countries'!$B$2:$B$63,A13,'Library countries'!$D$2:$D$63,"Yes")</f>
        <v>1</v>
      </c>
      <c r="D13" s="7" t="n">
        <f aca="false">COUNTIFS('Library countries'!$B$2:$B$63,A13,'Library countries'!$C$2:$C$63,"National",'Library countries'!$D$2:$D$63,"Yes")</f>
        <v>1</v>
      </c>
      <c r="E13" s="7" t="n">
        <f aca="false">COUNTIFS('Library countries'!$B$2:$B$63,A13,'Library countries'!$C$2:$C$63,"Sub-national",'Library countries'!$D$2:$D$63,"Yes")</f>
        <v>0</v>
      </c>
      <c r="F13" s="7" t="n">
        <f aca="false">COUNTIFS('Library countries'!$B$2:$B$63,A13,'Library countries'!$C$2:$C$63,"Multi-country",'Library countries'!$D$2:$D$63,"Yes")</f>
        <v>0</v>
      </c>
      <c r="G13" s="7" t="str">
        <f aca="false">IF(D13&gt;0,"National",IF(E13&gt;0,"Sub-national only",IF(F13&gt;0,"Multi-country only","None")))</f>
        <v>National</v>
      </c>
      <c r="H13" s="7" t="s">
        <v>635</v>
      </c>
    </row>
    <row r="14" customFormat="false" ht="15" hidden="false" customHeight="true" outlineLevel="0" collapsed="false">
      <c r="A14" s="7" t="s">
        <v>588</v>
      </c>
      <c r="B14" s="7" t="s">
        <v>135</v>
      </c>
      <c r="C14" s="7" t="n">
        <f aca="false">COUNTIFS('Library countries'!$B$2:$B$63,A14,'Library countries'!$D$2:$D$63,"Yes")</f>
        <v>1</v>
      </c>
      <c r="D14" s="7" t="n">
        <f aca="false">COUNTIFS('Library countries'!$B$2:$B$63,A14,'Library countries'!$C$2:$C$63,"National",'Library countries'!$D$2:$D$63,"Yes")</f>
        <v>1</v>
      </c>
      <c r="E14" s="7" t="n">
        <f aca="false">COUNTIFS('Library countries'!$B$2:$B$63,A14,'Library countries'!$C$2:$C$63,"Sub-national",'Library countries'!$D$2:$D$63,"Yes")</f>
        <v>0</v>
      </c>
      <c r="F14" s="7" t="n">
        <f aca="false">COUNTIFS('Library countries'!$B$2:$B$63,A14,'Library countries'!$C$2:$C$63,"Multi-country",'Library countries'!$D$2:$D$63,"Yes")</f>
        <v>0</v>
      </c>
      <c r="G14" s="7" t="str">
        <f aca="false">IF(D14&gt;0,"National",IF(E14&gt;0,"Sub-national only",IF(F14&gt;0,"Multi-country only","None")))</f>
        <v>National</v>
      </c>
      <c r="H14" s="7" t="s">
        <v>1802</v>
      </c>
    </row>
    <row r="15" customFormat="false" ht="15" hidden="false" customHeight="true" outlineLevel="0" collapsed="false">
      <c r="A15" s="7" t="s">
        <v>2201</v>
      </c>
      <c r="B15" s="7" t="s">
        <v>135</v>
      </c>
      <c r="C15" s="7" t="n">
        <f aca="false">COUNTIFS('Library countries'!$B$2:$B$63,A15,'Library countries'!$D$2:$D$63,"Yes")</f>
        <v>1</v>
      </c>
      <c r="D15" s="7" t="n">
        <f aca="false">COUNTIFS('Library countries'!$B$2:$B$63,A15,'Library countries'!$C$2:$C$63,"National",'Library countries'!$D$2:$D$63,"Yes")</f>
        <v>1</v>
      </c>
      <c r="E15" s="7" t="n">
        <f aca="false">COUNTIFS('Library countries'!$B$2:$B$63,A15,'Library countries'!$C$2:$C$63,"Sub-national",'Library countries'!$D$2:$D$63,"Yes")</f>
        <v>0</v>
      </c>
      <c r="F15" s="7" t="n">
        <f aca="false">COUNTIFS('Library countries'!$B$2:$B$63,A15,'Library countries'!$C$2:$C$63,"Multi-country",'Library countries'!$D$2:$D$63,"Yes")</f>
        <v>0</v>
      </c>
      <c r="G15" s="7" t="str">
        <f aca="false">IF(D15&gt;0,"National",IF(E15&gt;0,"Sub-national only",IF(F15&gt;0,"Multi-country only","None")))</f>
        <v>National</v>
      </c>
      <c r="H15" s="7" t="s">
        <v>2028</v>
      </c>
    </row>
    <row r="16" customFormat="false" ht="15" hidden="false" customHeight="true" outlineLevel="0" collapsed="false">
      <c r="A16" s="7" t="s">
        <v>1326</v>
      </c>
      <c r="B16" s="7" t="s">
        <v>135</v>
      </c>
      <c r="C16" s="7" t="n">
        <f aca="false">COUNTIFS('Library countries'!$B$2:$B$63,A16,'Library countries'!$D$2:$D$63,"Yes")</f>
        <v>1</v>
      </c>
      <c r="D16" s="7" t="n">
        <f aca="false">COUNTIFS('Library countries'!$B$2:$B$63,A16,'Library countries'!$C$2:$C$63,"National",'Library countries'!$D$2:$D$63,"Yes")</f>
        <v>1</v>
      </c>
      <c r="E16" s="7" t="n">
        <f aca="false">COUNTIFS('Library countries'!$B$2:$B$63,A16,'Library countries'!$C$2:$C$63,"Sub-national",'Library countries'!$D$2:$D$63,"Yes")</f>
        <v>0</v>
      </c>
      <c r="F16" s="7" t="n">
        <f aca="false">COUNTIFS('Library countries'!$B$2:$B$63,A16,'Library countries'!$C$2:$C$63,"Multi-country",'Library countries'!$D$2:$D$63,"Yes")</f>
        <v>0</v>
      </c>
      <c r="G16" s="7" t="str">
        <f aca="false">IF(D16&gt;0,"National",IF(E16&gt;0,"Sub-national only",IF(F16&gt;0,"Multi-country only","None")))</f>
        <v>National</v>
      </c>
      <c r="H16" s="7" t="s">
        <v>1349</v>
      </c>
    </row>
    <row r="17" customFormat="false" ht="15" hidden="false" customHeight="true" outlineLevel="0" collapsed="false">
      <c r="A17" s="7" t="s">
        <v>2236</v>
      </c>
      <c r="B17" s="7" t="s">
        <v>126</v>
      </c>
      <c r="C17" s="7" t="n">
        <f aca="false">COUNTIFS('Library countries'!$B$2:$B$63,A17,'Library countries'!$D$2:$D$63,"Yes")</f>
        <v>2</v>
      </c>
      <c r="D17" s="7" t="n">
        <f aca="false">COUNTIFS('Library countries'!$B$2:$B$63,A17,'Library countries'!$C$2:$C$63,"National",'Library countries'!$D$2:$D$63,"Yes")</f>
        <v>0</v>
      </c>
      <c r="E17" s="7" t="n">
        <f aca="false">COUNTIFS('Library countries'!$B$2:$B$63,A17,'Library countries'!$C$2:$C$63,"Sub-national",'Library countries'!$D$2:$D$63,"Yes")</f>
        <v>2</v>
      </c>
      <c r="F17" s="7" t="n">
        <f aca="false">COUNTIFS('Library countries'!$B$2:$B$63,A17,'Library countries'!$C$2:$C$63,"Multi-country",'Library countries'!$D$2:$D$63,"Yes")</f>
        <v>0</v>
      </c>
      <c r="G17" s="7" t="str">
        <f aca="false">IF(D17&gt;0,"National",IF(E17&gt;0,"Sub-national only",IF(F17&gt;0,"Multi-country only","None")))</f>
        <v>Sub-national only</v>
      </c>
      <c r="H17" s="7" t="s">
        <v>2293</v>
      </c>
    </row>
    <row r="18" customFormat="false" ht="15" hidden="false" customHeight="true" outlineLevel="0" collapsed="false">
      <c r="A18" s="7" t="s">
        <v>1985</v>
      </c>
      <c r="B18" s="7" t="s">
        <v>467</v>
      </c>
      <c r="C18" s="7" t="n">
        <f aca="false">COUNTIFS('Library countries'!$B$2:$B$63,A18,'Library countries'!$D$2:$D$63,"Yes")</f>
        <v>1</v>
      </c>
      <c r="D18" s="7" t="n">
        <f aca="false">COUNTIFS('Library countries'!$B$2:$B$63,A18,'Library countries'!$C$2:$C$63,"National",'Library countries'!$D$2:$D$63,"Yes")</f>
        <v>0</v>
      </c>
      <c r="E18" s="7" t="n">
        <f aca="false">COUNTIFS('Library countries'!$B$2:$B$63,A18,'Library countries'!$C$2:$C$63,"Sub-national",'Library countries'!$D$2:$D$63,"Yes")</f>
        <v>1</v>
      </c>
      <c r="F18" s="7" t="n">
        <f aca="false">COUNTIFS('Library countries'!$B$2:$B$63,A18,'Library countries'!$C$2:$C$63,"Multi-country",'Library countries'!$D$2:$D$63,"Yes")</f>
        <v>0</v>
      </c>
      <c r="G18" s="7" t="str">
        <f aca="false">IF(D18&gt;0,"National",IF(E18&gt;0,"Sub-national only",IF(F18&gt;0,"Multi-country only","None")))</f>
        <v>Sub-national only</v>
      </c>
      <c r="H18" s="7" t="s">
        <v>2097</v>
      </c>
    </row>
    <row r="19" customFormat="false" ht="15" hidden="false" customHeight="true" outlineLevel="0" collapsed="false">
      <c r="A19" s="7" t="s">
        <v>2242</v>
      </c>
      <c r="B19" s="7" t="s">
        <v>135</v>
      </c>
      <c r="C19" s="7" t="n">
        <f aca="false">COUNTIFS('Library countries'!$B$2:$B$63,A19,'Library countries'!$D$2:$D$63,"Yes")</f>
        <v>1</v>
      </c>
      <c r="D19" s="7" t="n">
        <f aca="false">COUNTIFS('Library countries'!$B$2:$B$63,A19,'Library countries'!$C$2:$C$63,"National",'Library countries'!$D$2:$D$63,"Yes")</f>
        <v>0</v>
      </c>
      <c r="E19" s="7" t="n">
        <f aca="false">COUNTIFS('Library countries'!$B$2:$B$63,A19,'Library countries'!$C$2:$C$63,"Sub-national",'Library countries'!$D$2:$D$63,"Yes")</f>
        <v>1</v>
      </c>
      <c r="F19" s="7" t="n">
        <f aca="false">COUNTIFS('Library countries'!$B$2:$B$63,A19,'Library countries'!$C$2:$C$63,"Multi-country",'Library countries'!$D$2:$D$63,"Yes")</f>
        <v>0</v>
      </c>
      <c r="G19" s="7" t="str">
        <f aca="false">IF(D19&gt;0,"National",IF(E19&gt;0,"Sub-national only",IF(F19&gt;0,"Multi-country only","None")))</f>
        <v>Sub-national only</v>
      </c>
      <c r="H19" s="7" t="s">
        <v>1079</v>
      </c>
    </row>
    <row r="20" customFormat="false" ht="15" hidden="false" customHeight="true" outlineLevel="0" collapsed="false">
      <c r="A20" s="7" t="s">
        <v>2247</v>
      </c>
      <c r="B20" s="7" t="s">
        <v>126</v>
      </c>
      <c r="C20" s="7" t="n">
        <f aca="false">COUNTIFS('Library countries'!$B$2:$B$63,A20,'Library countries'!$D$2:$D$63,"Yes")</f>
        <v>1</v>
      </c>
      <c r="D20" s="7" t="n">
        <f aca="false">COUNTIFS('Library countries'!$B$2:$B$63,A20,'Library countries'!$C$2:$C$63,"National",'Library countries'!$D$2:$D$63,"Yes")</f>
        <v>0</v>
      </c>
      <c r="E20" s="7" t="n">
        <f aca="false">COUNTIFS('Library countries'!$B$2:$B$63,A20,'Library countries'!$C$2:$C$63,"Sub-national",'Library countries'!$D$2:$D$63,"Yes")</f>
        <v>1</v>
      </c>
      <c r="F20" s="7" t="n">
        <f aca="false">COUNTIFS('Library countries'!$B$2:$B$63,A20,'Library countries'!$C$2:$C$63,"Multi-country",'Library countries'!$D$2:$D$63,"Yes")</f>
        <v>0</v>
      </c>
      <c r="G20" s="7" t="str">
        <f aca="false">IF(D20&gt;0,"National",IF(E20&gt;0,"Sub-national only",IF(F20&gt;0,"Multi-country only","None")))</f>
        <v>Sub-national only</v>
      </c>
      <c r="H20" s="7" t="s">
        <v>2012</v>
      </c>
    </row>
    <row r="21" customFormat="false" ht="15" hidden="false" customHeight="true" outlineLevel="0" collapsed="false">
      <c r="A21" s="7" t="s">
        <v>1476</v>
      </c>
      <c r="B21" s="7" t="s">
        <v>264</v>
      </c>
      <c r="C21" s="7" t="n">
        <f aca="false">COUNTIFS('Library countries'!$B$2:$B$63,A21,'Library countries'!$D$2:$D$63,"Yes")</f>
        <v>1</v>
      </c>
      <c r="D21" s="7" t="n">
        <f aca="false">COUNTIFS('Library countries'!$B$2:$B$63,A21,'Library countries'!$C$2:$C$63,"National",'Library countries'!$D$2:$D$63,"Yes")</f>
        <v>0</v>
      </c>
      <c r="E21" s="7" t="n">
        <f aca="false">COUNTIFS('Library countries'!$B$2:$B$63,A21,'Library countries'!$C$2:$C$63,"Sub-national",'Library countries'!$D$2:$D$63,"Yes")</f>
        <v>1</v>
      </c>
      <c r="F21" s="7" t="n">
        <f aca="false">COUNTIFS('Library countries'!$B$2:$B$63,A21,'Library countries'!$C$2:$C$63,"Multi-country",'Library countries'!$D$2:$D$63,"Yes")</f>
        <v>0</v>
      </c>
      <c r="G21" s="7" t="str">
        <f aca="false">IF(D21&gt;0,"National",IF(E21&gt;0,"Sub-national only",IF(F21&gt;0,"Multi-country only","None")))</f>
        <v>Sub-national only</v>
      </c>
      <c r="H21" s="7" t="s">
        <v>1493</v>
      </c>
    </row>
    <row r="22" customFormat="false" ht="15" hidden="false" customHeight="true" outlineLevel="0" collapsed="false">
      <c r="A22" s="7" t="s">
        <v>344</v>
      </c>
      <c r="B22" s="7" t="s">
        <v>264</v>
      </c>
      <c r="C22" s="7" t="n">
        <f aca="false">COUNTIFS('Library countries'!$B$2:$B$63,A22,'Library countries'!$D$2:$D$63,"Yes")</f>
        <v>1</v>
      </c>
      <c r="D22" s="7" t="n">
        <f aca="false">COUNTIFS('Library countries'!$B$2:$B$63,A22,'Library countries'!$C$2:$C$63,"National",'Library countries'!$D$2:$D$63,"Yes")</f>
        <v>0</v>
      </c>
      <c r="E22" s="7" t="n">
        <f aca="false">COUNTIFS('Library countries'!$B$2:$B$63,A22,'Library countries'!$C$2:$C$63,"Sub-national",'Library countries'!$D$2:$D$63,"Yes")</f>
        <v>1</v>
      </c>
      <c r="F22" s="7" t="n">
        <f aca="false">COUNTIFS('Library countries'!$B$2:$B$63,A22,'Library countries'!$C$2:$C$63,"Multi-country",'Library countries'!$D$2:$D$63,"Yes")</f>
        <v>0</v>
      </c>
      <c r="G22" s="7" t="str">
        <f aca="false">IF(D22&gt;0,"National",IF(E22&gt;0,"Sub-national only",IF(F22&gt;0,"Multi-country only","None")))</f>
        <v>Sub-national only</v>
      </c>
      <c r="H22" s="7" t="s">
        <v>363</v>
      </c>
    </row>
    <row r="23" customFormat="false" ht="15" hidden="false" customHeight="true" outlineLevel="0" collapsed="false">
      <c r="A23" s="7" t="s">
        <v>1757</v>
      </c>
      <c r="B23" s="7" t="s">
        <v>264</v>
      </c>
      <c r="C23" s="7" t="n">
        <f aca="false">COUNTIFS('Library countries'!$B$2:$B$63,A23,'Library countries'!$D$2:$D$63,"Yes")</f>
        <v>1</v>
      </c>
      <c r="D23" s="7" t="n">
        <f aca="false">COUNTIFS('Library countries'!$B$2:$B$63,A23,'Library countries'!$C$2:$C$63,"National",'Library countries'!$D$2:$D$63,"Yes")</f>
        <v>0</v>
      </c>
      <c r="E23" s="7" t="n">
        <f aca="false">COUNTIFS('Library countries'!$B$2:$B$63,A23,'Library countries'!$C$2:$C$63,"Sub-national",'Library countries'!$D$2:$D$63,"Yes")</f>
        <v>1</v>
      </c>
      <c r="F23" s="7" t="n">
        <f aca="false">COUNTIFS('Library countries'!$B$2:$B$63,A23,'Library countries'!$C$2:$C$63,"Multi-country",'Library countries'!$D$2:$D$63,"Yes")</f>
        <v>0</v>
      </c>
      <c r="G23" s="7" t="str">
        <f aca="false">IF(D23&gt;0,"National",IF(E23&gt;0,"Sub-national only",IF(F23&gt;0,"Multi-country only","None")))</f>
        <v>Sub-national only</v>
      </c>
      <c r="H23" s="7" t="s">
        <v>1774</v>
      </c>
    </row>
    <row r="24" customFormat="false" ht="15" hidden="false" customHeight="true" outlineLevel="0" collapsed="false">
      <c r="A24" s="7" t="s">
        <v>513</v>
      </c>
      <c r="B24" s="7" t="s">
        <v>126</v>
      </c>
      <c r="C24" s="7" t="n">
        <f aca="false">COUNTIFS('Library countries'!$B$2:$B$63,A24,'Library countries'!$D$2:$D$63,"Yes")</f>
        <v>1</v>
      </c>
      <c r="D24" s="7" t="n">
        <f aca="false">COUNTIFS('Library countries'!$B$2:$B$63,A24,'Library countries'!$C$2:$C$63,"National",'Library countries'!$D$2:$D$63,"Yes")</f>
        <v>0</v>
      </c>
      <c r="E24" s="7" t="n">
        <f aca="false">COUNTIFS('Library countries'!$B$2:$B$63,A24,'Library countries'!$C$2:$C$63,"Sub-national",'Library countries'!$D$2:$D$63,"Yes")</f>
        <v>1</v>
      </c>
      <c r="F24" s="7" t="n">
        <f aca="false">COUNTIFS('Library countries'!$B$2:$B$63,A24,'Library countries'!$C$2:$C$63,"Multi-country",'Library countries'!$D$2:$D$63,"Yes")</f>
        <v>0</v>
      </c>
      <c r="G24" s="7" t="str">
        <f aca="false">IF(D24&gt;0,"National",IF(E24&gt;0,"Sub-national only",IF(F24&gt;0,"Multi-country only","None")))</f>
        <v>Sub-national only</v>
      </c>
      <c r="H24" s="7" t="s">
        <v>534</v>
      </c>
    </row>
    <row r="25" customFormat="false" ht="15" hidden="false" customHeight="true" outlineLevel="0" collapsed="false">
      <c r="A25" s="7" t="s">
        <v>1748</v>
      </c>
      <c r="B25" s="7" t="s">
        <v>135</v>
      </c>
      <c r="C25" s="7" t="n">
        <f aca="false">COUNTIFS('Library countries'!$B$2:$B$63,A25,'Library countries'!$D$2:$D$63,"Yes")</f>
        <v>1</v>
      </c>
      <c r="D25" s="7" t="n">
        <f aca="false">COUNTIFS('Library countries'!$B$2:$B$63,A25,'Library countries'!$C$2:$C$63,"National",'Library countries'!$D$2:$D$63,"Yes")</f>
        <v>0</v>
      </c>
      <c r="E25" s="7" t="n">
        <f aca="false">COUNTIFS('Library countries'!$B$2:$B$63,A25,'Library countries'!$C$2:$C$63,"Sub-national",'Library countries'!$D$2:$D$63,"Yes")</f>
        <v>0</v>
      </c>
      <c r="F25" s="7" t="n">
        <f aca="false">COUNTIFS('Library countries'!$B$2:$B$63,A25,'Library countries'!$C$2:$C$63,"Multi-country",'Library countries'!$D$2:$D$63,"Yes")</f>
        <v>1</v>
      </c>
      <c r="G25" s="7" t="str">
        <f aca="false">IF(D25&gt;0,"National",IF(E25&gt;0,"Sub-national only",IF(F25&gt;0,"Multi-country only","None")))</f>
        <v>Multi-country only</v>
      </c>
      <c r="H25" s="7" t="s">
        <v>691</v>
      </c>
    </row>
    <row r="26" customFormat="false" ht="15" hidden="false" customHeight="true" outlineLevel="0" collapsed="false">
      <c r="A26" s="7" t="s">
        <v>2275</v>
      </c>
      <c r="B26" s="7" t="s">
        <v>135</v>
      </c>
      <c r="C26" s="7" t="n">
        <f aca="false">COUNTIFS('Library countries'!$B$2:$B$63,A26,'Library countries'!$D$2:$D$63,"Yes")</f>
        <v>1</v>
      </c>
      <c r="D26" s="7" t="n">
        <f aca="false">COUNTIFS('Library countries'!$B$2:$B$63,A26,'Library countries'!$C$2:$C$63,"National",'Library countries'!$D$2:$D$63,"Yes")</f>
        <v>0</v>
      </c>
      <c r="E26" s="7" t="n">
        <f aca="false">COUNTIFS('Library countries'!$B$2:$B$63,A26,'Library countries'!$C$2:$C$63,"Sub-national",'Library countries'!$D$2:$D$63,"Yes")</f>
        <v>0</v>
      </c>
      <c r="F26" s="7" t="n">
        <f aca="false">COUNTIFS('Library countries'!$B$2:$B$63,A26,'Library countries'!$C$2:$C$63,"Multi-country",'Library countries'!$D$2:$D$63,"Yes")</f>
        <v>1</v>
      </c>
      <c r="G26" s="7" t="str">
        <f aca="false">IF(D26&gt;0,"National",IF(E26&gt;0,"Sub-national only",IF(F26&gt;0,"Multi-country only","None")))</f>
        <v>Multi-country only</v>
      </c>
      <c r="H26" s="7" t="s">
        <v>210</v>
      </c>
    </row>
    <row r="27" customFormat="false" ht="15" hidden="false" customHeight="true" outlineLevel="0" collapsed="false">
      <c r="A27" s="7" t="s">
        <v>2270</v>
      </c>
      <c r="B27" s="7" t="s">
        <v>264</v>
      </c>
      <c r="C27" s="7" t="n">
        <f aca="false">COUNTIFS('Library countries'!$B$2:$B$63,A27,'Library countries'!$D$2:$D$63,"Yes")</f>
        <v>1</v>
      </c>
      <c r="D27" s="7" t="n">
        <f aca="false">COUNTIFS('Library countries'!$B$2:$B$63,A27,'Library countries'!$C$2:$C$63,"National",'Library countries'!$D$2:$D$63,"Yes")</f>
        <v>0</v>
      </c>
      <c r="E27" s="7" t="n">
        <f aca="false">COUNTIFS('Library countries'!$B$2:$B$63,A27,'Library countries'!$C$2:$C$63,"Sub-national",'Library countries'!$D$2:$D$63,"Yes")</f>
        <v>0</v>
      </c>
      <c r="F27" s="7" t="n">
        <f aca="false">COUNTIFS('Library countries'!$B$2:$B$63,A27,'Library countries'!$C$2:$C$63,"Multi-country",'Library countries'!$D$2:$D$63,"Yes")</f>
        <v>1</v>
      </c>
      <c r="G27" s="7" t="str">
        <f aca="false">IF(D27&gt;0,"National",IF(E27&gt;0,"Sub-national only",IF(F27&gt;0,"Multi-country only","None")))</f>
        <v>Multi-country only</v>
      </c>
      <c r="H27" s="7" t="s">
        <v>754</v>
      </c>
    </row>
    <row r="28" customFormat="false" ht="15" hidden="false" customHeight="true" outlineLevel="0" collapsed="false">
      <c r="A28" s="7" t="s">
        <v>2277</v>
      </c>
      <c r="B28" s="7" t="s">
        <v>135</v>
      </c>
      <c r="C28" s="7" t="n">
        <f aca="false">COUNTIFS('Library countries'!$B$2:$B$63,A28,'Library countries'!$D$2:$D$63,"Yes")</f>
        <v>1</v>
      </c>
      <c r="D28" s="7" t="n">
        <f aca="false">COUNTIFS('Library countries'!$B$2:$B$63,A28,'Library countries'!$C$2:$C$63,"National",'Library countries'!$D$2:$D$63,"Yes")</f>
        <v>0</v>
      </c>
      <c r="E28" s="7" t="n">
        <f aca="false">COUNTIFS('Library countries'!$B$2:$B$63,A28,'Library countries'!$C$2:$C$63,"Sub-national",'Library countries'!$D$2:$D$63,"Yes")</f>
        <v>0</v>
      </c>
      <c r="F28" s="7" t="n">
        <f aca="false">COUNTIFS('Library countries'!$B$2:$B$63,A28,'Library countries'!$C$2:$C$63,"Multi-country",'Library countries'!$D$2:$D$63,"Yes")</f>
        <v>1</v>
      </c>
      <c r="G28" s="7" t="str">
        <f aca="false">IF(D28&gt;0,"National",IF(E28&gt;0,"Sub-national only",IF(F28&gt;0,"Multi-country only","None")))</f>
        <v>Multi-country only</v>
      </c>
      <c r="H28" s="7" t="s">
        <v>691</v>
      </c>
    </row>
    <row r="29" customFormat="false" ht="15" hidden="false" customHeight="true" outlineLevel="0" collapsed="false">
      <c r="A29" s="7" t="s">
        <v>2271</v>
      </c>
      <c r="B29" s="7" t="s">
        <v>264</v>
      </c>
      <c r="C29" s="7" t="n">
        <f aca="false">COUNTIFS('Library countries'!$B$2:$B$63,A29,'Library countries'!$D$2:$D$63,"Yes")</f>
        <v>1</v>
      </c>
      <c r="D29" s="7" t="n">
        <f aca="false">COUNTIFS('Library countries'!$B$2:$B$63,A29,'Library countries'!$C$2:$C$63,"National",'Library countries'!$D$2:$D$63,"Yes")</f>
        <v>0</v>
      </c>
      <c r="E29" s="7" t="n">
        <f aca="false">COUNTIFS('Library countries'!$B$2:$B$63,A29,'Library countries'!$C$2:$C$63,"Sub-national",'Library countries'!$D$2:$D$63,"Yes")</f>
        <v>0</v>
      </c>
      <c r="F29" s="7" t="n">
        <f aca="false">COUNTIFS('Library countries'!$B$2:$B$63,A29,'Library countries'!$C$2:$C$63,"Multi-country",'Library countries'!$D$2:$D$63,"Yes")</f>
        <v>1</v>
      </c>
      <c r="G29" s="7" t="str">
        <f aca="false">IF(D29&gt;0,"National",IF(E29&gt;0,"Sub-national only",IF(F29&gt;0,"Multi-country only","None")))</f>
        <v>Multi-country only</v>
      </c>
      <c r="H29" s="7" t="s">
        <v>754</v>
      </c>
    </row>
    <row r="30" customFormat="false" ht="15" hidden="false" customHeight="true" outlineLevel="0" collapsed="false">
      <c r="A30" s="7" t="s">
        <v>2274</v>
      </c>
      <c r="B30" s="7" t="s">
        <v>264</v>
      </c>
      <c r="C30" s="7" t="n">
        <f aca="false">COUNTIFS('Library countries'!$B$2:$B$63,A30,'Library countries'!$D$2:$D$63,"Yes")</f>
        <v>1</v>
      </c>
      <c r="D30" s="7" t="n">
        <f aca="false">COUNTIFS('Library countries'!$B$2:$B$63,A30,'Library countries'!$C$2:$C$63,"National",'Library countries'!$D$2:$D$63,"Yes")</f>
        <v>0</v>
      </c>
      <c r="E30" s="7" t="n">
        <f aca="false">COUNTIFS('Library countries'!$B$2:$B$63,A30,'Library countries'!$C$2:$C$63,"Sub-national",'Library countries'!$D$2:$D$63,"Yes")</f>
        <v>0</v>
      </c>
      <c r="F30" s="7" t="n">
        <f aca="false">COUNTIFS('Library countries'!$B$2:$B$63,A30,'Library countries'!$C$2:$C$63,"Multi-country",'Library countries'!$D$2:$D$63,"Yes")</f>
        <v>1</v>
      </c>
      <c r="G30" s="7" t="str">
        <f aca="false">IF(D30&gt;0,"National",IF(E30&gt;0,"Sub-national only",IF(F30&gt;0,"Multi-country only","None")))</f>
        <v>Multi-country only</v>
      </c>
      <c r="H30" s="7" t="s">
        <v>754</v>
      </c>
    </row>
    <row r="31" customFormat="false" ht="15" hidden="false" customHeight="true" outlineLevel="0" collapsed="false">
      <c r="A31" s="7" t="s">
        <v>2272</v>
      </c>
      <c r="B31" s="7" t="s">
        <v>264</v>
      </c>
      <c r="C31" s="7" t="n">
        <f aca="false">COUNTIFS('Library countries'!$B$2:$B$63,A31,'Library countries'!$D$2:$D$63,"Yes")</f>
        <v>1</v>
      </c>
      <c r="D31" s="7" t="n">
        <f aca="false">COUNTIFS('Library countries'!$B$2:$B$63,A31,'Library countries'!$C$2:$C$63,"National",'Library countries'!$D$2:$D$63,"Yes")</f>
        <v>0</v>
      </c>
      <c r="E31" s="7" t="n">
        <f aca="false">COUNTIFS('Library countries'!$B$2:$B$63,A31,'Library countries'!$C$2:$C$63,"Sub-national",'Library countries'!$D$2:$D$63,"Yes")</f>
        <v>0</v>
      </c>
      <c r="F31" s="7" t="n">
        <f aca="false">COUNTIFS('Library countries'!$B$2:$B$63,A31,'Library countries'!$C$2:$C$63,"Multi-country",'Library countries'!$D$2:$D$63,"Yes")</f>
        <v>1</v>
      </c>
      <c r="G31" s="7" t="str">
        <f aca="false">IF(D31&gt;0,"National",IF(E31&gt;0,"Sub-national only",IF(F31&gt;0,"Multi-country only","None")))</f>
        <v>Multi-country only</v>
      </c>
      <c r="H31" s="7" t="s">
        <v>754</v>
      </c>
    </row>
    <row r="32" customFormat="false" ht="15" hidden="false" customHeight="true" outlineLevel="0" collapsed="false">
      <c r="A32" s="7" t="s">
        <v>2280</v>
      </c>
      <c r="B32" s="7" t="s">
        <v>135</v>
      </c>
      <c r="C32" s="7" t="n">
        <f aca="false">COUNTIFS('Library countries'!$B$2:$B$63,A32,'Library countries'!$D$2:$D$63,"Yes")</f>
        <v>1</v>
      </c>
      <c r="D32" s="7" t="n">
        <f aca="false">COUNTIFS('Library countries'!$B$2:$B$63,A32,'Library countries'!$C$2:$C$63,"National",'Library countries'!$D$2:$D$63,"Yes")</f>
        <v>0</v>
      </c>
      <c r="E32" s="7" t="n">
        <f aca="false">COUNTIFS('Library countries'!$B$2:$B$63,A32,'Library countries'!$C$2:$C$63,"Sub-national",'Library countries'!$D$2:$D$63,"Yes")</f>
        <v>0</v>
      </c>
      <c r="F32" s="7" t="n">
        <f aca="false">COUNTIFS('Library countries'!$B$2:$B$63,A32,'Library countries'!$C$2:$C$63,"Multi-country",'Library countries'!$D$2:$D$63,"Yes")</f>
        <v>1</v>
      </c>
      <c r="G32" s="7" t="str">
        <f aca="false">IF(D32&gt;0,"National",IF(E32&gt;0,"Sub-national only",IF(F32&gt;0,"Multi-country only","None")))</f>
        <v>Multi-country only</v>
      </c>
      <c r="H32" s="7" t="s">
        <v>691</v>
      </c>
    </row>
    <row r="33" customFormat="false" ht="15" hidden="false" customHeight="true" outlineLevel="0" collapsed="false">
      <c r="A33" s="7" t="s">
        <v>2267</v>
      </c>
      <c r="B33" s="7" t="s">
        <v>264</v>
      </c>
      <c r="C33" s="7" t="n">
        <f aca="false">COUNTIFS('Library countries'!$B$2:$B$63,A33,'Library countries'!$D$2:$D$63,"Yes")</f>
        <v>1</v>
      </c>
      <c r="D33" s="7" t="n">
        <f aca="false">COUNTIFS('Library countries'!$B$2:$B$63,A33,'Library countries'!$C$2:$C$63,"National",'Library countries'!$D$2:$D$63,"Yes")</f>
        <v>0</v>
      </c>
      <c r="E33" s="7" t="n">
        <f aca="false">COUNTIFS('Library countries'!$B$2:$B$63,A33,'Library countries'!$C$2:$C$63,"Sub-national",'Library countries'!$D$2:$D$63,"Yes")</f>
        <v>0</v>
      </c>
      <c r="F33" s="7" t="n">
        <f aca="false">COUNTIFS('Library countries'!$B$2:$B$63,A33,'Library countries'!$C$2:$C$63,"Multi-country",'Library countries'!$D$2:$D$63,"Yes")</f>
        <v>1</v>
      </c>
      <c r="G33" s="7" t="str">
        <f aca="false">IF(D33&gt;0,"National",IF(E33&gt;0,"Sub-national only",IF(F33&gt;0,"Multi-country only","None")))</f>
        <v>Multi-country only</v>
      </c>
      <c r="H33" s="7" t="s">
        <v>745</v>
      </c>
    </row>
    <row r="34" customFormat="false" ht="15" hidden="false" customHeight="true" outlineLevel="0" collapsed="false">
      <c r="A34" s="7" t="s">
        <v>2281</v>
      </c>
      <c r="B34" s="7" t="s">
        <v>264</v>
      </c>
      <c r="C34" s="7" t="n">
        <f aca="false">COUNTIFS('Library countries'!$B$2:$B$63,A34,'Library countries'!$D$2:$D$63,"Yes")</f>
        <v>1</v>
      </c>
      <c r="D34" s="7" t="n">
        <f aca="false">COUNTIFS('Library countries'!$B$2:$B$63,A34,'Library countries'!$C$2:$C$63,"National",'Library countries'!$D$2:$D$63,"Yes")</f>
        <v>0</v>
      </c>
      <c r="E34" s="7" t="n">
        <f aca="false">COUNTIFS('Library countries'!$B$2:$B$63,A34,'Library countries'!$C$2:$C$63,"Sub-national",'Library countries'!$D$2:$D$63,"Yes")</f>
        <v>0</v>
      </c>
      <c r="F34" s="7" t="n">
        <f aca="false">COUNTIFS('Library countries'!$B$2:$B$63,A34,'Library countries'!$C$2:$C$63,"Multi-country",'Library countries'!$D$2:$D$63,"Yes")</f>
        <v>1</v>
      </c>
      <c r="G34" s="7" t="str">
        <f aca="false">IF(D34&gt;0,"National",IF(E34&gt;0,"Sub-national only",IF(F34&gt;0,"Multi-country only","None")))</f>
        <v>Multi-country only</v>
      </c>
      <c r="H34" s="7" t="s">
        <v>691</v>
      </c>
    </row>
    <row r="35" customFormat="false" ht="15" hidden="false" customHeight="true" outlineLevel="0" collapsed="false">
      <c r="A35" s="7" t="s">
        <v>796</v>
      </c>
      <c r="B35" s="7" t="s">
        <v>135</v>
      </c>
      <c r="C35" s="7" t="n">
        <f aca="false">COUNTIFS('Library countries'!$B$2:$B$63,A35,'Library countries'!$D$2:$D$63,"Yes")</f>
        <v>1</v>
      </c>
      <c r="D35" s="7" t="n">
        <f aca="false">COUNTIFS('Library countries'!$B$2:$B$63,A35,'Library countries'!$C$2:$C$63,"National",'Library countries'!$D$2:$D$63,"Yes")</f>
        <v>0</v>
      </c>
      <c r="E35" s="7" t="n">
        <f aca="false">COUNTIFS('Library countries'!$B$2:$B$63,A35,'Library countries'!$C$2:$C$63,"Sub-national",'Library countries'!$D$2:$D$63,"Yes")</f>
        <v>0</v>
      </c>
      <c r="F35" s="7" t="n">
        <f aca="false">COUNTIFS('Library countries'!$B$2:$B$63,A35,'Library countries'!$C$2:$C$63,"Multi-country",'Library countries'!$D$2:$D$63,"Yes")</f>
        <v>1</v>
      </c>
      <c r="G35" s="7" t="str">
        <f aca="false">IF(D35&gt;0,"National",IF(E35&gt;0,"Sub-national only",IF(F35&gt;0,"Multi-country only","None")))</f>
        <v>Multi-country only</v>
      </c>
      <c r="H35" s="7" t="s">
        <v>210</v>
      </c>
    </row>
    <row r="36" customFormat="false" ht="15" hidden="false" customHeight="true" outlineLevel="0" collapsed="false">
      <c r="A36" s="7" t="s">
        <v>1444</v>
      </c>
      <c r="B36" s="7" t="s">
        <v>135</v>
      </c>
      <c r="C36" s="7" t="n">
        <f aca="false">COUNTIFS('Library countries'!$B$2:$B$63,A36,'Library countries'!$D$2:$D$63,"Yes")</f>
        <v>1</v>
      </c>
      <c r="D36" s="7" t="n">
        <f aca="false">COUNTIFS('Library countries'!$B$2:$B$63,A36,'Library countries'!$C$2:$C$63,"National",'Library countries'!$D$2:$D$63,"Yes")</f>
        <v>0</v>
      </c>
      <c r="E36" s="7" t="n">
        <f aca="false">COUNTIFS('Library countries'!$B$2:$B$63,A36,'Library countries'!$C$2:$C$63,"Sub-national",'Library countries'!$D$2:$D$63,"Yes")</f>
        <v>0</v>
      </c>
      <c r="F36" s="7" t="n">
        <f aca="false">COUNTIFS('Library countries'!$B$2:$B$63,A36,'Library countries'!$C$2:$C$63,"Multi-country",'Library countries'!$D$2:$D$63,"Yes")</f>
        <v>1</v>
      </c>
      <c r="G36" s="7" t="str">
        <f aca="false">IF(D36&gt;0,"National",IF(E36&gt;0,"Sub-national only",IF(F36&gt;0,"Multi-country only","None")))</f>
        <v>Multi-country only</v>
      </c>
      <c r="H36" s="7" t="s">
        <v>691</v>
      </c>
    </row>
    <row r="37" customFormat="false" ht="15" hidden="false" customHeight="true" outlineLevel="0" collapsed="false">
      <c r="A37" s="7" t="s">
        <v>2276</v>
      </c>
      <c r="B37" s="7" t="s">
        <v>135</v>
      </c>
      <c r="C37" s="7" t="n">
        <f aca="false">COUNTIFS('Library countries'!$B$2:$B$63,A37,'Library countries'!$D$2:$D$63,"Yes")</f>
        <v>1</v>
      </c>
      <c r="D37" s="7" t="n">
        <f aca="false">COUNTIFS('Library countries'!$B$2:$B$63,A37,'Library countries'!$C$2:$C$63,"National",'Library countries'!$D$2:$D$63,"Yes")</f>
        <v>0</v>
      </c>
      <c r="E37" s="7" t="n">
        <f aca="false">COUNTIFS('Library countries'!$B$2:$B$63,A37,'Library countries'!$C$2:$C$63,"Sub-national",'Library countries'!$D$2:$D$63,"Yes")</f>
        <v>0</v>
      </c>
      <c r="F37" s="7" t="n">
        <f aca="false">COUNTIFS('Library countries'!$B$2:$B$63,A37,'Library countries'!$C$2:$C$63,"Multi-country",'Library countries'!$D$2:$D$63,"Yes")</f>
        <v>1</v>
      </c>
      <c r="G37" s="7" t="str">
        <f aca="false">IF(D37&gt;0,"National",IF(E37&gt;0,"Sub-national only",IF(F37&gt;0,"Multi-country only","None")))</f>
        <v>Multi-country only</v>
      </c>
      <c r="H37" s="7" t="s">
        <v>210</v>
      </c>
    </row>
    <row r="38" customFormat="false" ht="15" hidden="false" customHeight="true" outlineLevel="0" collapsed="false">
      <c r="A38" s="7" t="s">
        <v>403</v>
      </c>
      <c r="B38" s="7" t="s">
        <v>135</v>
      </c>
      <c r="C38" s="7" t="n">
        <f aca="false">COUNTIFS('Library countries'!$B$2:$B$63,A38,'Library countries'!$D$2:$D$63,"Yes")</f>
        <v>1</v>
      </c>
      <c r="D38" s="7" t="n">
        <f aca="false">COUNTIFS('Library countries'!$B$2:$B$63,A38,'Library countries'!$C$2:$C$63,"National",'Library countries'!$D$2:$D$63,"Yes")</f>
        <v>0</v>
      </c>
      <c r="E38" s="7" t="n">
        <f aca="false">COUNTIFS('Library countries'!$B$2:$B$63,A38,'Library countries'!$C$2:$C$63,"Sub-national",'Library countries'!$D$2:$D$63,"Yes")</f>
        <v>0</v>
      </c>
      <c r="F38" s="7" t="n">
        <f aca="false">COUNTIFS('Library countries'!$B$2:$B$63,A38,'Library countries'!$C$2:$C$63,"Multi-country",'Library countries'!$D$2:$D$63,"Yes")</f>
        <v>1</v>
      </c>
      <c r="G38" s="7" t="str">
        <f aca="false">IF(D38&gt;0,"National",IF(E38&gt;0,"Sub-national only",IF(F38&gt;0,"Multi-country only","None")))</f>
        <v>Multi-country only</v>
      </c>
      <c r="H38" s="7" t="s">
        <v>210</v>
      </c>
    </row>
    <row r="39" customFormat="false" ht="15" hidden="false" customHeight="true" outlineLevel="0" collapsed="false">
      <c r="A39" s="7" t="s">
        <v>2268</v>
      </c>
      <c r="B39" s="7" t="s">
        <v>264</v>
      </c>
      <c r="C39" s="7" t="n">
        <f aca="false">COUNTIFS('Library countries'!$B$2:$B$63,A39,'Library countries'!$D$2:$D$63,"Yes")</f>
        <v>1</v>
      </c>
      <c r="D39" s="7" t="n">
        <f aca="false">COUNTIFS('Library countries'!$B$2:$B$63,A39,'Library countries'!$C$2:$C$63,"National",'Library countries'!$D$2:$D$63,"Yes")</f>
        <v>0</v>
      </c>
      <c r="E39" s="7" t="n">
        <f aca="false">COUNTIFS('Library countries'!$B$2:$B$63,A39,'Library countries'!$C$2:$C$63,"Sub-national",'Library countries'!$D$2:$D$63,"Yes")</f>
        <v>0</v>
      </c>
      <c r="F39" s="7" t="n">
        <f aca="false">COUNTIFS('Library countries'!$B$2:$B$63,A39,'Library countries'!$C$2:$C$63,"Multi-country",'Library countries'!$D$2:$D$63,"Yes")</f>
        <v>1</v>
      </c>
      <c r="G39" s="7" t="str">
        <f aca="false">IF(D39&gt;0,"National",IF(E39&gt;0,"Sub-national only",IF(F39&gt;0,"Multi-country only","None")))</f>
        <v>Multi-country only</v>
      </c>
      <c r="H39" s="7" t="s">
        <v>745</v>
      </c>
    </row>
    <row r="40" customFormat="false" ht="15" hidden="false" customHeight="true" outlineLevel="0" collapsed="false">
      <c r="A40" s="7" t="s">
        <v>2278</v>
      </c>
      <c r="B40" s="7" t="s">
        <v>135</v>
      </c>
      <c r="C40" s="7" t="n">
        <f aca="false">COUNTIFS('Library countries'!$B$2:$B$63,A40,'Library countries'!$D$2:$D$63,"Yes")</f>
        <v>1</v>
      </c>
      <c r="D40" s="7" t="n">
        <f aca="false">COUNTIFS('Library countries'!$B$2:$B$63,A40,'Library countries'!$C$2:$C$63,"National",'Library countries'!$D$2:$D$63,"Yes")</f>
        <v>0</v>
      </c>
      <c r="E40" s="7" t="n">
        <f aca="false">COUNTIFS('Library countries'!$B$2:$B$63,A40,'Library countries'!$C$2:$C$63,"Sub-national",'Library countries'!$D$2:$D$63,"Yes")</f>
        <v>0</v>
      </c>
      <c r="F40" s="7" t="n">
        <f aca="false">COUNTIFS('Library countries'!$B$2:$B$63,A40,'Library countries'!$C$2:$C$63,"Multi-country",'Library countries'!$D$2:$D$63,"Yes")</f>
        <v>1</v>
      </c>
      <c r="G40" s="7" t="str">
        <f aca="false">IF(D40&gt;0,"National",IF(E40&gt;0,"Sub-national only",IF(F40&gt;0,"Multi-country only","None")))</f>
        <v>Multi-country only</v>
      </c>
      <c r="H40" s="7" t="s">
        <v>691</v>
      </c>
    </row>
    <row r="41" customFormat="false" ht="15" hidden="false" customHeight="true" outlineLevel="0" collapsed="false">
      <c r="A41" s="7" t="s">
        <v>2273</v>
      </c>
      <c r="B41" s="7" t="s">
        <v>264</v>
      </c>
      <c r="C41" s="7" t="n">
        <f aca="false">COUNTIFS('Library countries'!$B$2:$B$63,A41,'Library countries'!$D$2:$D$63,"Yes")</f>
        <v>1</v>
      </c>
      <c r="D41" s="7" t="n">
        <f aca="false">COUNTIFS('Library countries'!$B$2:$B$63,A41,'Library countries'!$C$2:$C$63,"National",'Library countries'!$D$2:$D$63,"Yes")</f>
        <v>0</v>
      </c>
      <c r="E41" s="7" t="n">
        <f aca="false">COUNTIFS('Library countries'!$B$2:$B$63,A41,'Library countries'!$C$2:$C$63,"Sub-national",'Library countries'!$D$2:$D$63,"Yes")</f>
        <v>0</v>
      </c>
      <c r="F41" s="7" t="n">
        <f aca="false">COUNTIFS('Library countries'!$B$2:$B$63,A41,'Library countries'!$C$2:$C$63,"Multi-country",'Library countries'!$D$2:$D$63,"Yes")</f>
        <v>1</v>
      </c>
      <c r="G41" s="7" t="str">
        <f aca="false">IF(D41&gt;0,"National",IF(E41&gt;0,"Sub-national only",IF(F41&gt;0,"Multi-country only","None")))</f>
        <v>Multi-country only</v>
      </c>
      <c r="H41" s="7" t="s">
        <v>754</v>
      </c>
    </row>
    <row r="42" customFormat="false" ht="15" hidden="false" customHeight="true" outlineLevel="0" collapsed="false">
      <c r="A42" s="7" t="s">
        <v>2279</v>
      </c>
      <c r="B42" s="7" t="s">
        <v>126</v>
      </c>
      <c r="C42" s="7" t="n">
        <f aca="false">COUNTIFS('Library countries'!$B$2:$B$63,A42,'Library countries'!$D$2:$D$63,"Yes")</f>
        <v>1</v>
      </c>
      <c r="D42" s="7" t="n">
        <f aca="false">COUNTIFS('Library countries'!$B$2:$B$63,A42,'Library countries'!$C$2:$C$63,"National",'Library countries'!$D$2:$D$63,"Yes")</f>
        <v>0</v>
      </c>
      <c r="E42" s="7" t="n">
        <f aca="false">COUNTIFS('Library countries'!$B$2:$B$63,A42,'Library countries'!$C$2:$C$63,"Sub-national",'Library countries'!$D$2:$D$63,"Yes")</f>
        <v>0</v>
      </c>
      <c r="F42" s="7" t="n">
        <f aca="false">COUNTIFS('Library countries'!$B$2:$B$63,A42,'Library countries'!$C$2:$C$63,"Multi-country",'Library countries'!$D$2:$D$63,"Yes")</f>
        <v>1</v>
      </c>
      <c r="G42" s="7" t="str">
        <f aca="false">IF(D42&gt;0,"National",IF(E42&gt;0,"Sub-national only",IF(F42&gt;0,"Multi-country only","None")))</f>
        <v>Multi-country only</v>
      </c>
      <c r="H42" s="7" t="s">
        <v>691</v>
      </c>
    </row>
    <row r="43" customFormat="false" ht="15" hidden="false" customHeight="true" outlineLevel="0" collapsed="false">
      <c r="A43" s="7" t="s">
        <v>2269</v>
      </c>
      <c r="B43" s="7" t="s">
        <v>264</v>
      </c>
      <c r="C43" s="7" t="n">
        <f aca="false">COUNTIFS('Library countries'!$B$2:$B$63,A43,'Library countries'!$D$2:$D$63,"Yes")</f>
        <v>1</v>
      </c>
      <c r="D43" s="7" t="n">
        <f aca="false">COUNTIFS('Library countries'!$B$2:$B$63,A43,'Library countries'!$C$2:$C$63,"National",'Library countries'!$D$2:$D$63,"Yes")</f>
        <v>0</v>
      </c>
      <c r="E43" s="7" t="n">
        <f aca="false">COUNTIFS('Library countries'!$B$2:$B$63,A43,'Library countries'!$C$2:$C$63,"Sub-national",'Library countries'!$D$2:$D$63,"Yes")</f>
        <v>0</v>
      </c>
      <c r="F43" s="7" t="n">
        <f aca="false">COUNTIFS('Library countries'!$B$2:$B$63,A43,'Library countries'!$C$2:$C$63,"Multi-country",'Library countries'!$D$2:$D$63,"Yes")</f>
        <v>1</v>
      </c>
      <c r="G43" s="7" t="str">
        <f aca="false">IF(D43&gt;0,"National",IF(E43&gt;0,"Sub-national only",IF(F43&gt;0,"Multi-country only","None")))</f>
        <v>Multi-country only</v>
      </c>
      <c r="H43" s="7" t="s">
        <v>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11"/>
    <col collapsed="false" customWidth="true" hidden="false" outlineLevel="0" max="2" min="2" style="1" width="32"/>
    <col collapsed="false" customWidth="true" hidden="false" outlineLevel="0" max="3" min="3" style="1" width="40"/>
    <col collapsed="false" customWidth="true" hidden="false" outlineLevel="0" max="4" min="4" style="1" width="30"/>
    <col collapsed="false" customWidth="true" hidden="false" outlineLevel="0" max="5" min="5" style="1" width="52"/>
    <col collapsed="false" customWidth="true" hidden="false" outlineLevel="0" max="6" min="6" style="1" width="60"/>
  </cols>
  <sheetData>
    <row r="1" customFormat="false" ht="23.25" hidden="false" customHeight="true" outlineLevel="0" collapsed="false">
      <c r="A1" s="8" t="s">
        <v>2294</v>
      </c>
      <c r="B1" s="8" t="s">
        <v>2295</v>
      </c>
      <c r="C1" s="8" t="s">
        <v>52</v>
      </c>
      <c r="D1" s="8" t="s">
        <v>2296</v>
      </c>
      <c r="E1" s="8" t="s">
        <v>2297</v>
      </c>
      <c r="F1" s="8" t="s">
        <v>2298</v>
      </c>
    </row>
    <row r="2" customFormat="false" ht="26.25" hidden="false" customHeight="true" outlineLevel="0" collapsed="false">
      <c r="A2" s="7" t="n">
        <v>95</v>
      </c>
      <c r="B2" s="7" t="s">
        <v>2299</v>
      </c>
      <c r="C2" s="7" t="s">
        <v>1830</v>
      </c>
      <c r="D2" s="7" t="s">
        <v>2300</v>
      </c>
      <c r="E2" s="7" t="s">
        <v>2301</v>
      </c>
      <c r="F2" s="7" t="s">
        <v>2302</v>
      </c>
    </row>
    <row r="3" customFormat="false" ht="26.25" hidden="false" customHeight="true" outlineLevel="0" collapsed="false">
      <c r="A3" s="7" t="n">
        <v>96</v>
      </c>
      <c r="B3" s="7" t="s">
        <v>2303</v>
      </c>
      <c r="C3" s="7" t="s">
        <v>1854</v>
      </c>
      <c r="D3" s="7" t="s">
        <v>2304</v>
      </c>
      <c r="E3" s="7" t="s">
        <v>2305</v>
      </c>
      <c r="F3" s="7" t="s">
        <v>2306</v>
      </c>
    </row>
    <row r="4" customFormat="false" ht="26.25" hidden="false" customHeight="true" outlineLevel="0" collapsed="false">
      <c r="A4" s="7" t="n">
        <v>97</v>
      </c>
      <c r="B4" s="7" t="s">
        <v>2307</v>
      </c>
      <c r="C4" s="7" t="s">
        <v>1867</v>
      </c>
      <c r="D4" s="7" t="s">
        <v>2308</v>
      </c>
      <c r="E4" s="7" t="s">
        <v>2309</v>
      </c>
      <c r="F4" s="7" t="s">
        <v>2310</v>
      </c>
    </row>
    <row r="5" customFormat="false" ht="14.25" hidden="false" customHeight="true" outlineLevel="0" collapsed="false">
      <c r="A5" s="7" t="n">
        <v>98</v>
      </c>
      <c r="B5" s="7" t="s">
        <v>2311</v>
      </c>
      <c r="C5" s="7" t="s">
        <v>1879</v>
      </c>
      <c r="D5" s="7" t="s">
        <v>2312</v>
      </c>
      <c r="E5" s="7" t="s">
        <v>2313</v>
      </c>
      <c r="F5" s="7" t="s">
        <v>2314</v>
      </c>
    </row>
    <row r="6" customFormat="false" ht="14.25" hidden="false" customHeight="true" outlineLevel="0" collapsed="false">
      <c r="A6" s="7" t="n">
        <v>99</v>
      </c>
      <c r="B6" s="7" t="s">
        <v>2315</v>
      </c>
      <c r="C6" s="7" t="s">
        <v>1888</v>
      </c>
      <c r="D6" s="7" t="s">
        <v>2316</v>
      </c>
      <c r="E6" s="7" t="s">
        <v>2317</v>
      </c>
      <c r="F6" s="7" t="s">
        <v>2318</v>
      </c>
    </row>
    <row r="7" customFormat="false" ht="26.25" hidden="false" customHeight="true" outlineLevel="0" collapsed="false">
      <c r="A7" s="7" t="n">
        <v>100</v>
      </c>
      <c r="B7" s="7" t="s">
        <v>2319</v>
      </c>
      <c r="C7" s="7" t="s">
        <v>1896</v>
      </c>
      <c r="D7" s="7" t="s">
        <v>2320</v>
      </c>
      <c r="E7" s="7" t="s">
        <v>2321</v>
      </c>
      <c r="F7" s="7" t="s">
        <v>2322</v>
      </c>
    </row>
    <row r="8" customFormat="false" ht="26.25" hidden="false" customHeight="true" outlineLevel="0" collapsed="false">
      <c r="A8" s="7" t="n">
        <v>101</v>
      </c>
      <c r="B8" s="7" t="s">
        <v>2323</v>
      </c>
      <c r="C8" s="7" t="s">
        <v>1918</v>
      </c>
      <c r="D8" s="7" t="s">
        <v>2324</v>
      </c>
      <c r="E8" s="7" t="s">
        <v>2325</v>
      </c>
      <c r="F8" s="7" t="s">
        <v>2326</v>
      </c>
    </row>
    <row r="9" customFormat="false" ht="26.25" hidden="false" customHeight="true" outlineLevel="0" collapsed="false">
      <c r="A9" s="7" t="n">
        <v>102</v>
      </c>
      <c r="B9" s="7" t="s">
        <v>2327</v>
      </c>
      <c r="C9" s="7" t="s">
        <v>1933</v>
      </c>
      <c r="D9" s="7" t="s">
        <v>2328</v>
      </c>
      <c r="E9" s="7" t="s">
        <v>2329</v>
      </c>
      <c r="F9" s="7" t="s">
        <v>2330</v>
      </c>
    </row>
    <row r="10" customFormat="false" ht="14.25" hidden="false" customHeight="true" outlineLevel="0" collapsed="false">
      <c r="A10" s="7" t="n">
        <v>103</v>
      </c>
      <c r="B10" s="7" t="s">
        <v>2331</v>
      </c>
      <c r="C10" s="7" t="s">
        <v>1943</v>
      </c>
      <c r="D10" s="7" t="s">
        <v>2332</v>
      </c>
      <c r="E10" s="7" t="s">
        <v>2333</v>
      </c>
      <c r="F10" s="7" t="s">
        <v>2334</v>
      </c>
    </row>
    <row r="11" customFormat="false" ht="14.25" hidden="false" customHeight="true" outlineLevel="0" collapsed="false">
      <c r="A11" s="7" t="n">
        <v>104</v>
      </c>
      <c r="B11" s="7" t="s">
        <v>2335</v>
      </c>
      <c r="C11" s="7" t="s">
        <v>1951</v>
      </c>
      <c r="D11" s="7" t="s">
        <v>2336</v>
      </c>
      <c r="E11" s="7" t="s">
        <v>2337</v>
      </c>
      <c r="F11" s="7" t="s">
        <v>2338</v>
      </c>
    </row>
    <row r="12" customFormat="false" ht="26.25" hidden="false" customHeight="true" outlineLevel="0" collapsed="false">
      <c r="A12" s="7" t="n">
        <v>105</v>
      </c>
      <c r="B12" s="7" t="s">
        <v>2339</v>
      </c>
      <c r="C12" s="7" t="s">
        <v>1963</v>
      </c>
      <c r="D12" s="7" t="s">
        <v>2340</v>
      </c>
      <c r="E12" s="7" t="s">
        <v>2341</v>
      </c>
      <c r="F12" s="7" t="s">
        <v>2342</v>
      </c>
    </row>
    <row r="13" customFormat="false" ht="14.25" hidden="false" customHeight="true" outlineLevel="0" collapsed="false">
      <c r="A13" s="7" t="n">
        <v>106</v>
      </c>
      <c r="B13" s="7" t="s">
        <v>2343</v>
      </c>
      <c r="C13" s="7" t="s">
        <v>1975</v>
      </c>
      <c r="D13" s="7" t="s">
        <v>2344</v>
      </c>
      <c r="E13" s="7" t="s">
        <v>2345</v>
      </c>
      <c r="F13" s="7" t="s">
        <v>2346</v>
      </c>
    </row>
    <row r="14" customFormat="false" ht="14.25" hidden="false" customHeight="true" outlineLevel="0" collapsed="false">
      <c r="A14" s="7" t="n">
        <v>107</v>
      </c>
      <c r="B14" s="7" t="s">
        <v>2347</v>
      </c>
      <c r="C14" s="7" t="s">
        <v>1983</v>
      </c>
      <c r="D14" s="7" t="s">
        <v>2348</v>
      </c>
      <c r="E14" s="7" t="s">
        <v>2349</v>
      </c>
      <c r="F14" s="7" t="s">
        <v>2338</v>
      </c>
    </row>
    <row r="15" customFormat="false" ht="14.25" hidden="false" customHeight="true" outlineLevel="0" collapsed="false">
      <c r="A15" s="7" t="n">
        <v>108</v>
      </c>
      <c r="B15" s="7" t="s">
        <v>2350</v>
      </c>
      <c r="C15" s="7" t="s">
        <v>1995</v>
      </c>
      <c r="D15" s="7" t="s">
        <v>2351</v>
      </c>
      <c r="E15" s="7" t="s">
        <v>2352</v>
      </c>
      <c r="F15" s="7" t="s">
        <v>2353</v>
      </c>
    </row>
    <row r="16" customFormat="false" ht="26.25" hidden="false" customHeight="true" outlineLevel="0" collapsed="false">
      <c r="A16" s="7" t="n">
        <v>109</v>
      </c>
      <c r="B16" s="7" t="s">
        <v>2354</v>
      </c>
      <c r="C16" s="7" t="s">
        <v>2015</v>
      </c>
      <c r="D16" s="7" t="s">
        <v>2355</v>
      </c>
      <c r="E16" s="7" t="s">
        <v>2356</v>
      </c>
      <c r="F16" s="7" t="s">
        <v>2357</v>
      </c>
    </row>
    <row r="17" customFormat="false" ht="26.25" hidden="false" customHeight="true" outlineLevel="0" collapsed="false">
      <c r="A17" s="7" t="n">
        <v>110</v>
      </c>
      <c r="B17" s="7" t="s">
        <v>2358</v>
      </c>
      <c r="C17" s="7" t="s">
        <v>2031</v>
      </c>
      <c r="D17" s="7" t="s">
        <v>2359</v>
      </c>
      <c r="E17" s="7" t="s">
        <v>2360</v>
      </c>
      <c r="F17" s="7" t="s">
        <v>2361</v>
      </c>
    </row>
    <row r="18" customFormat="false" ht="26.25" hidden="false" customHeight="true" outlineLevel="0" collapsed="false">
      <c r="A18" s="7" t="n">
        <v>111</v>
      </c>
      <c r="B18" s="7" t="s">
        <v>2362</v>
      </c>
      <c r="C18" s="7" t="s">
        <v>2050</v>
      </c>
      <c r="D18" s="7" t="s">
        <v>2359</v>
      </c>
      <c r="E18" s="7" t="s">
        <v>2363</v>
      </c>
      <c r="F18" s="7" t="s">
        <v>2364</v>
      </c>
    </row>
    <row r="19" customFormat="false" ht="14.25" hidden="false" customHeight="true" outlineLevel="0" collapsed="false">
      <c r="A19" s="7" t="n">
        <v>112</v>
      </c>
      <c r="B19" s="7" t="s">
        <v>2365</v>
      </c>
      <c r="C19" s="7" t="s">
        <v>2060</v>
      </c>
      <c r="D19" s="7" t="s">
        <v>2366</v>
      </c>
      <c r="E19" s="7" t="s">
        <v>2367</v>
      </c>
      <c r="F19" s="7" t="s">
        <v>2368</v>
      </c>
    </row>
    <row r="20" customFormat="false" ht="26.25" hidden="false" customHeight="true" outlineLevel="0" collapsed="false">
      <c r="A20" s="7" t="n">
        <v>113</v>
      </c>
      <c r="B20" s="7" t="s">
        <v>2369</v>
      </c>
      <c r="C20" s="7" t="s">
        <v>2370</v>
      </c>
      <c r="D20" s="7" t="s">
        <v>2371</v>
      </c>
      <c r="E20" s="7" t="s">
        <v>2372</v>
      </c>
      <c r="F20" s="7" t="s">
        <v>2373</v>
      </c>
    </row>
    <row r="21" customFormat="false" ht="26.25" hidden="false" customHeight="true" outlineLevel="0" collapsed="false">
      <c r="A21" s="7" t="n">
        <v>114</v>
      </c>
      <c r="B21" s="7" t="s">
        <v>2374</v>
      </c>
      <c r="C21" s="7" t="s">
        <v>2375</v>
      </c>
      <c r="D21" s="7" t="s">
        <v>2084</v>
      </c>
      <c r="E21" s="7" t="s">
        <v>2376</v>
      </c>
      <c r="F21" s="7" t="s">
        <v>2377</v>
      </c>
    </row>
    <row r="22" customFormat="false" ht="14.25" hidden="false" customHeight="true" outlineLevel="0" collapsed="false">
      <c r="A22" s="7"/>
      <c r="B22" s="7"/>
      <c r="C22" s="7"/>
      <c r="D22" s="7"/>
      <c r="E22" s="7"/>
      <c r="F22" s="7"/>
    </row>
    <row r="23" customFormat="false" ht="66" hidden="false" customHeight="true" outlineLevel="0" collapsed="false">
      <c r="A23" s="7" t="s">
        <v>2378</v>
      </c>
      <c r="B23" s="7"/>
      <c r="C23" s="7"/>
      <c r="D23" s="7"/>
      <c r="E23" s="7"/>
      <c r="F23" s="7"/>
    </row>
    <row r="24" customFormat="false" ht="52.5" hidden="false" customHeight="true" outlineLevel="0" collapsed="false">
      <c r="A24" s="7" t="s">
        <v>2379</v>
      </c>
      <c r="B24" s="7" t="s">
        <v>2380</v>
      </c>
      <c r="C24" s="7"/>
      <c r="D24" s="7"/>
      <c r="E24" s="7"/>
      <c r="F24" s="7"/>
    </row>
    <row r="25" customFormat="false" ht="26.25" hidden="false" customHeight="true" outlineLevel="0" collapsed="false">
      <c r="A25" s="7" t="s">
        <v>2381</v>
      </c>
      <c r="B25" s="7" t="s">
        <v>2382</v>
      </c>
      <c r="C25" s="7"/>
      <c r="D25" s="7"/>
      <c r="E25" s="7"/>
      <c r="F25" s="7"/>
    </row>
    <row r="26" customFormat="false" ht="39" hidden="false" customHeight="true" outlineLevel="0" collapsed="false">
      <c r="A26" s="7" t="s">
        <v>2383</v>
      </c>
      <c r="B26" s="7" t="s">
        <v>2384</v>
      </c>
      <c r="C26" s="7"/>
      <c r="D26" s="7"/>
      <c r="E26" s="7"/>
      <c r="F26" s="7"/>
    </row>
    <row r="27" customFormat="false" ht="39" hidden="false" customHeight="true" outlineLevel="0" collapsed="false">
      <c r="A27" s="7" t="s">
        <v>2385</v>
      </c>
      <c r="B27" s="7" t="s">
        <v>2386</v>
      </c>
      <c r="C27" s="7"/>
      <c r="D27" s="7"/>
      <c r="E27" s="7"/>
      <c r="F27" s="7"/>
    </row>
    <row r="28" customFormat="false" ht="14.25" hidden="false" customHeight="true" outlineLevel="0" collapsed="false">
      <c r="A28" s="7"/>
      <c r="B28" s="7"/>
      <c r="C28" s="7"/>
      <c r="D28" s="7"/>
      <c r="E28" s="7"/>
      <c r="F28" s="7"/>
    </row>
    <row r="29" customFormat="false" ht="78.75" hidden="false" customHeight="true" outlineLevel="0" collapsed="false">
      <c r="A29" s="7" t="s">
        <v>2387</v>
      </c>
      <c r="B29" s="7"/>
      <c r="C29" s="7"/>
      <c r="D29" s="7"/>
      <c r="E29" s="7"/>
      <c r="F29" s="7"/>
    </row>
    <row r="30" customFormat="false" ht="26.25" hidden="false" customHeight="true" outlineLevel="0" collapsed="false">
      <c r="A30" s="7"/>
      <c r="B30" s="7" t="s">
        <v>2388</v>
      </c>
      <c r="C30" s="7"/>
      <c r="D30" s="7"/>
      <c r="E30" s="7"/>
      <c r="F30" s="7"/>
    </row>
    <row r="31" customFormat="false" ht="39" hidden="false" customHeight="true" outlineLevel="0" collapsed="false">
      <c r="A31" s="7"/>
      <c r="B31" s="7" t="s">
        <v>2389</v>
      </c>
      <c r="C31" s="7"/>
      <c r="D31" s="7"/>
      <c r="E31" s="7"/>
      <c r="F31" s="7"/>
    </row>
    <row r="32" customFormat="false" ht="26.25" hidden="false" customHeight="true" outlineLevel="0" collapsed="false">
      <c r="A32" s="7"/>
      <c r="B32" s="7" t="s">
        <v>2390</v>
      </c>
      <c r="C32" s="7"/>
      <c r="D32" s="7"/>
      <c r="E32" s="7"/>
      <c r="F32" s="7"/>
    </row>
    <row r="33" customFormat="false" ht="39" hidden="false" customHeight="true" outlineLevel="0" collapsed="false">
      <c r="A33" s="7"/>
      <c r="B33" s="7" t="s">
        <v>2391</v>
      </c>
      <c r="C33" s="7"/>
      <c r="D33" s="7"/>
      <c r="E33" s="7"/>
      <c r="F33" s="7"/>
    </row>
    <row r="34" customFormat="false" ht="39" hidden="false" customHeight="true" outlineLevel="0" collapsed="false">
      <c r="A34" s="7"/>
      <c r="B34" s="7" t="s">
        <v>2392</v>
      </c>
      <c r="C34" s="7"/>
      <c r="D34" s="7"/>
      <c r="E34" s="7"/>
      <c r="F34" s="7"/>
    </row>
    <row r="35" customFormat="false" ht="66" hidden="false" customHeight="true" outlineLevel="0" collapsed="false">
      <c r="A35" s="7"/>
      <c r="B35" s="7" t="s">
        <v>2393</v>
      </c>
      <c r="C35" s="7"/>
      <c r="D35" s="7"/>
      <c r="E35" s="7"/>
      <c r="F35"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2026-07-18T18:33:34Z</dcterms:created>
  <dc:creator>openpyxl</dc:creator>
  <dc:description/>
  <dc:language>en-US</dc:language>
  <cp:lastModifiedBy>ΣΠΥΡΙΔΩΝ ΔΕΤΣΙΚΑΣ</cp:lastModifiedBy>
  <dcterms:modified xsi:type="dcterms:W3CDTF">2026-10-12T19:34:03Z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